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nguye\Downloads\Tailieu_KLTN\Tailieu_KLTN\"/>
    </mc:Choice>
  </mc:AlternateContent>
  <xr:revisionPtr revIDLastSave="0" documentId="13_ncr:1_{804548AF-4D17-40EB-A3A9-270A10813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2" sheetId="5" r:id="rId2"/>
    <sheet name="Total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5" l="1"/>
  <c r="D8" i="1"/>
  <c r="Y99" i="5"/>
  <c r="S99" i="5"/>
  <c r="P99" i="5"/>
  <c r="E9" i="1"/>
  <c r="E8" i="1"/>
  <c r="D9" i="1"/>
  <c r="D10" i="1"/>
  <c r="V90" i="1"/>
  <c r="W89" i="1"/>
  <c r="W90" i="1"/>
  <c r="M90" i="1"/>
  <c r="M89" i="1"/>
  <c r="L90" i="1"/>
  <c r="J90" i="1"/>
  <c r="AF99" i="5"/>
  <c r="AF98" i="5"/>
  <c r="AE98" i="5"/>
  <c r="AE99" i="5"/>
  <c r="AD98" i="5"/>
  <c r="AD99" i="5"/>
  <c r="G99" i="5"/>
  <c r="G98" i="5"/>
  <c r="I99" i="5"/>
  <c r="K98" i="5"/>
  <c r="K99" i="5"/>
  <c r="M99" i="5"/>
  <c r="W99" i="5"/>
  <c r="AG99" i="5"/>
  <c r="AC99" i="5"/>
  <c r="AB99" i="5"/>
  <c r="AA99" i="5"/>
  <c r="Z99" i="5"/>
  <c r="X99" i="5"/>
  <c r="V99" i="5"/>
  <c r="U99" i="5"/>
  <c r="T99" i="5"/>
  <c r="R99" i="5"/>
  <c r="Q99" i="5"/>
  <c r="O99" i="5"/>
  <c r="N99" i="5"/>
  <c r="L99" i="5"/>
  <c r="J99" i="5"/>
  <c r="AG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J98" i="5"/>
  <c r="I98" i="5"/>
  <c r="E12" i="5"/>
  <c r="D12" i="5"/>
  <c r="E11" i="5"/>
  <c r="D11" i="5"/>
  <c r="E10" i="5"/>
  <c r="D10" i="5"/>
  <c r="E9" i="5"/>
  <c r="E8" i="5"/>
  <c r="D8" i="5"/>
  <c r="G16" i="1"/>
  <c r="G18" i="1"/>
  <c r="G89" i="1" s="1"/>
  <c r="G28" i="1"/>
  <c r="I89" i="1"/>
  <c r="J89" i="1"/>
  <c r="K89" i="1"/>
  <c r="L89" i="1"/>
  <c r="N89" i="1"/>
  <c r="O89" i="1"/>
  <c r="P89" i="1"/>
  <c r="Q89" i="1"/>
  <c r="R89" i="1"/>
  <c r="S89" i="1"/>
  <c r="T89" i="1"/>
  <c r="U89" i="1"/>
  <c r="V89" i="1"/>
  <c r="G90" i="1"/>
  <c r="I90" i="1"/>
  <c r="K90" i="1"/>
  <c r="N90" i="1"/>
  <c r="O90" i="1"/>
  <c r="P90" i="1"/>
  <c r="Q90" i="1"/>
  <c r="R90" i="1"/>
  <c r="S90" i="1"/>
  <c r="T90" i="1"/>
  <c r="U90" i="1"/>
  <c r="D13" i="5" l="1"/>
  <c r="E13" i="5"/>
  <c r="E12" i="1"/>
  <c r="E11" i="1"/>
  <c r="E10" i="1"/>
  <c r="D11" i="1" l="1"/>
  <c r="D12" i="1"/>
  <c r="C4" i="4" l="1"/>
  <c r="J4" i="4" l="1"/>
  <c r="H4" i="4"/>
  <c r="K4" i="4"/>
  <c r="I4" i="4"/>
  <c r="G4" i="4"/>
  <c r="E4" i="4"/>
  <c r="F4" i="4"/>
  <c r="D4" i="4"/>
  <c r="F7" i="4" l="1"/>
  <c r="D7" i="4"/>
  <c r="K7" i="4"/>
  <c r="B7" i="4"/>
  <c r="C7" i="4"/>
  <c r="G7" i="4"/>
  <c r="J7" i="4"/>
  <c r="E7" i="4"/>
  <c r="I7" i="4"/>
  <c r="H7" i="4"/>
  <c r="E13" i="1"/>
  <c r="D13" i="1"/>
  <c r="F11" i="4" l="1"/>
  <c r="F12" i="4"/>
</calcChain>
</file>

<file path=xl/sharedStrings.xml><?xml version="1.0" encoding="utf-8"?>
<sst xmlns="http://schemas.openxmlformats.org/spreadsheetml/2006/main" count="371" uniqueCount="194">
  <si>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</si>
  <si>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</si>
  <si>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</si>
  <si>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</si>
  <si>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</si>
  <si>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</si>
  <si>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</si>
  <si>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</si>
  <si>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</si>
  <si>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</si>
  <si>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</si>
  <si>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</si>
  <si>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</si>
  <si>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</si>
  <si>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</si>
  <si>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</si>
  <si>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</si>
  <si>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</si>
  <si>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</si>
  <si>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</si>
  <si>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</si>
  <si>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</si>
  <si>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</si>
  <si>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</si>
  <si>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</si>
  <si>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>Thiết kê front-end cho đổi mật khẩu</t>
  </si>
  <si>
    <t>Code back-end cho đổi mật khẩu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</si>
  <si>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</si>
  <si>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</si>
  <si>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</si>
  <si>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</si>
  <si>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</si>
  <si>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</si>
  <si>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Sửa lỗi đổi mật khẩu</t>
  </si>
  <si>
    <t>Fix Bug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</si>
  <si>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</si>
  <si>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</si>
  <si>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</si>
  <si>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</si>
  <si>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</si>
  <si>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</si>
  <si>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</si>
  <si>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</si>
  <si>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</si>
  <si>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</si>
  <si>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</si>
  <si>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</si>
  <si>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</si>
  <si>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</si>
  <si>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</si>
  <si>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</si>
  <si>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</si>
  <si>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</si>
  <si>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</si>
  <si>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</si>
  <si>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</si>
  <si>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</si>
  <si>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</si>
  <si>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</si>
  <si>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Giao diện đăng xuất</t>
  </si>
  <si>
    <t>Giao diện phân quyền</t>
  </si>
  <si>
    <t>Thiết kế trường kiểm thử cho đăng xuất</t>
  </si>
  <si>
    <t>Thiết kế trường kiểm thử cho quản lý người dùng</t>
  </si>
  <si>
    <t>Thiết kế trường kiểm thử cho quản lý phân quyền</t>
  </si>
  <si>
    <t>Thiết kê front-end cho quản lý người dùng</t>
  </si>
  <si>
    <t>Code back-end cho quản lý người dùng</t>
  </si>
  <si>
    <t>Thiết kê front-end cho quản lý phân quyền</t>
  </si>
  <si>
    <t>Code back-end cho quản lý phân quyền</t>
  </si>
  <si>
    <t>Thiết kê front-end cho đăng xuất</t>
  </si>
  <si>
    <t>Code back-end cho đăng xuất</t>
  </si>
  <si>
    <t>Kiểm tra đăng xuất</t>
  </si>
  <si>
    <t>Kiểm tra quản lý người dùng</t>
  </si>
  <si>
    <t>Kiểm tra quản lý phân quyền</t>
  </si>
  <si>
    <t>Sửa lỗi đăng xuất</t>
  </si>
  <si>
    <t>Sửa lỗi quản lý phân quyền</t>
  </si>
  <si>
    <t>Sửa lỗi quản lý người dùng</t>
  </si>
  <si>
    <t>Kiểm tra lại đăng xuất</t>
  </si>
  <si>
    <t>Kiểm tra lại quản lý người dùng</t>
  </si>
  <si>
    <t>Kiểm tra lại quản lý phân quyền</t>
  </si>
  <si>
    <t xml:space="preserve">Ngô Văn Giỏi                           </t>
  </si>
  <si>
    <t xml:space="preserve">Nguyễn Ngọc Sơn                    </t>
  </si>
  <si>
    <t xml:space="preserve">Nguyễn Thanh Long                </t>
  </si>
  <si>
    <t xml:space="preserve">Nguyễn Phước Thanh Tuấn     </t>
  </si>
  <si>
    <t>Tuấn</t>
  </si>
  <si>
    <t>Giao diện Đăng ký Tài Khoản</t>
  </si>
  <si>
    <t>Long</t>
  </si>
  <si>
    <t>Giao diện Tìm Kiếm Khách Sạn</t>
  </si>
  <si>
    <t>Giao diện Xem Chi Tiết Khách Sạn</t>
  </si>
  <si>
    <t>Toàn</t>
  </si>
  <si>
    <t>Sơn</t>
  </si>
  <si>
    <t>Giỏi</t>
  </si>
  <si>
    <t>Giao diện người dùng</t>
  </si>
  <si>
    <t>Giao diện Đổi mật khẩu</t>
  </si>
  <si>
    <t>Thiết kế trường kiểm thử cho Đăng ký Tài Khoản</t>
  </si>
  <si>
    <t>Thiết kế trường kiểm thử cho Tìm Kiếm Khách Sạn</t>
  </si>
  <si>
    <t>Thiết kế trường kiểm thử cho  Chi Tiết Khách Sạn</t>
  </si>
  <si>
    <t>Thiết kê front-end cho Đăng ký Tài Khoản</t>
  </si>
  <si>
    <t>Code back-end cho Đăng ký Tài Khoản</t>
  </si>
  <si>
    <t>Thiết kê front-end Tìm Kiếm Khách Sạn</t>
  </si>
  <si>
    <t>Code back-end cho Tìm Kiếm Khách Sạn</t>
  </si>
  <si>
    <t>Thiết kê front-end Chi Tiết Khách Sạn</t>
  </si>
  <si>
    <t>Code back-end Chi Tiết Khách Sạn</t>
  </si>
  <si>
    <t>Kiểm tra lại Đăng ký Tài Khoản</t>
  </si>
  <si>
    <t>Kiểm tra lại Tìm Kiếm Khách Sạn</t>
  </si>
  <si>
    <t>Kiểm tra lại Xem Chi Tiết Khách Sạn</t>
  </si>
  <si>
    <t>Kiểm tra  Xem Chi Tiết Khách Sạn</t>
  </si>
  <si>
    <t>Kiểm tra  Tìm Kiếm Khách Sạn</t>
  </si>
  <si>
    <t>Kiểm tra  Đăng ký Tài Khoản</t>
  </si>
  <si>
    <t>Giỏi,Tuấn</t>
  </si>
  <si>
    <t>Giỏi,Toàn</t>
  </si>
  <si>
    <t>Giỏi,Sơn</t>
  </si>
  <si>
    <t>Giỏi,Long</t>
  </si>
  <si>
    <t>Sửa lỗi Đăng ký Tài Khoản</t>
  </si>
  <si>
    <t>Sửa lỗi Tìm Kiếm Khách Sạn</t>
  </si>
  <si>
    <t>Sửa lỗi  Xem Chi Tiết Khách Sạn</t>
  </si>
  <si>
    <t>Kiểm tra lại đổi mật khẩu</t>
  </si>
  <si>
    <t>Giỏi ,Toàn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</si>
  <si>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</si>
  <si>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</si>
  <si>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</si>
  <si>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</si>
  <si>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</si>
  <si>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</si>
  <si>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</si>
  <si>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</si>
  <si>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</si>
  <si>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</si>
  <si>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*</t>
  </si>
  <si>
    <t>Ứng dụng đặt phòng thông minh với AI Search Assistant và gợi ý theo hành vi người dùng</t>
  </si>
  <si>
    <t>Ngô Văn Giỏi</t>
  </si>
  <si>
    <t>Nguyễn Phước Thanh Tuấn</t>
  </si>
  <si>
    <t>Nguyễn Ngọc Sơn</t>
  </si>
  <si>
    <t>Nguyễn Minh Toàn</t>
  </si>
  <si>
    <t>Nguyễn Thanh Long</t>
  </si>
  <si>
    <t>Giao diện chức năng “ Hotel Management"</t>
  </si>
  <si>
    <t>Giao diện chức năng “ Room Management ”</t>
  </si>
  <si>
    <t>Giao diện Chức năng “Booking”</t>
  </si>
  <si>
    <t>Giao diện chức năng “ Payment (VNPay) ”</t>
  </si>
  <si>
    <t>Giao diện chức năng “ Wallet Management”</t>
  </si>
  <si>
    <t>Giao diện chức năng    “  Revenue Management”</t>
  </si>
  <si>
    <t>Giao diện chức năng    “  Admin Dashboard ”</t>
  </si>
  <si>
    <t>Giao diện chức năng “ Info Pages ”</t>
  </si>
  <si>
    <t>Thiết kế trường kiểm thử cho “ Hotel Management"</t>
  </si>
  <si>
    <t>Thiết kế trường kiểm thử cho “ Room Management ”</t>
  </si>
  <si>
    <t>Thiết kế trường kiểm thử cho “Booking”</t>
  </si>
  <si>
    <t>Thiết kế trường kiểm thử cho “ Payment (VNPay) ”</t>
  </si>
  <si>
    <t>Thiết kế trường kiểm thử cho “ Wallet Management”</t>
  </si>
  <si>
    <t>Thiết kế trường kiểm thử cho   “  Revenue Management”</t>
  </si>
  <si>
    <t>Thiết kế trường kiểm thử cho “  Admin Dashboard ”</t>
  </si>
  <si>
    <t>Thiết kế trường kiểm thử cho “ Info Pages ”</t>
  </si>
  <si>
    <t>Thiết kê front-end Hotel Management</t>
  </si>
  <si>
    <t>long</t>
  </si>
  <si>
    <t>Code back-end cho Hotel Management</t>
  </si>
  <si>
    <t>Thiết kê front-end Room Management</t>
  </si>
  <si>
    <t>Code back-end cho Room Management</t>
  </si>
  <si>
    <t>Thiết kê front-end cho Booking</t>
  </si>
  <si>
    <t>Code back-end cho Booking</t>
  </si>
  <si>
    <t>Thiết kê front-end cho Payment(VNPay)</t>
  </si>
  <si>
    <t>Code back-end cho Payment(VNPay)</t>
  </si>
  <si>
    <t>Thiết kê front-end Wallet Management</t>
  </si>
  <si>
    <t>Code back-end cho Wallet Management</t>
  </si>
  <si>
    <t>Thiết kê front-end Revenue Management</t>
  </si>
  <si>
    <t>Code back-end cho Revenue Management</t>
  </si>
  <si>
    <t>Thiết kê front-end cho Reviews</t>
  </si>
  <si>
    <t>Code back-end cho Reviews</t>
  </si>
  <si>
    <t xml:space="preserve">Thiết kê front-end cho Admin Dashboard </t>
  </si>
  <si>
    <t xml:space="preserve">Code back-end cho Admin Dashboard </t>
  </si>
  <si>
    <t xml:space="preserve">Thiết kê front-end cho Info Pages </t>
  </si>
  <si>
    <t xml:space="preserve">Code back-end cho Info Pages </t>
  </si>
  <si>
    <t xml:space="preserve">Long, giỏi, sơn , tuấn </t>
  </si>
  <si>
    <t>Kiểm tra “ Hotel Management"</t>
  </si>
  <si>
    <t>Kiểm tra “ Room Management ”</t>
  </si>
  <si>
    <t>Kiểm tra “Booking”</t>
  </si>
  <si>
    <t>Kiểm tra “ Payment (VNPay) ”</t>
  </si>
  <si>
    <t>Kiểm tra “ Wallet Management”</t>
  </si>
  <si>
    <t>Kiểm tra  “  Revenue Management”</t>
  </si>
  <si>
    <t>Kiểm tra  “  Admin Dashboard ”</t>
  </si>
  <si>
    <t>Kiểm tra “ Info Pages ”</t>
  </si>
  <si>
    <t>Sửa lỗi  “ Hotel Management"</t>
  </si>
  <si>
    <t>Sửa lỗi  “ Room Management ”</t>
  </si>
  <si>
    <t>Sửa lỗi “Booking”</t>
  </si>
  <si>
    <t>Sửa lỗi “ Payment (VNPay) ”</t>
  </si>
  <si>
    <t>Sửa lỗi“ Wallet Management”</t>
  </si>
  <si>
    <t>Sửa lỗi  “  Revenue Management”</t>
  </si>
  <si>
    <t>Sửa lỗi  “  Admin Dashboard ”</t>
  </si>
  <si>
    <t>Sửa lỗi  “ Info Pages ”</t>
  </si>
  <si>
    <t>Kiểm tra lại “ Hotel Management"</t>
  </si>
  <si>
    <t>Kiểm tra lại “ Room Management ”</t>
  </si>
  <si>
    <t>Kiểm tra lại “Booking”</t>
  </si>
  <si>
    <t>Kiểm tra lại “ Payment (VNPay) ”</t>
  </si>
  <si>
    <t>Kiểm tra lại Wallet Management”</t>
  </si>
  <si>
    <t>Kiểm tra lại “  Revenue Management”</t>
  </si>
  <si>
    <t>Kiểm tra lại “  Admin Dashboard ”</t>
  </si>
  <si>
    <t>Kiểm tra lại  “ Info Pages 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</si>
</sst>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0" borderId="8" xfId="0" applyFont="1" applyFill="1" applyBorder="1" applyAlignment="1">
      <alignment horizontal="left" vertical="center"/>
    </xf>
    <xf numFmtId="0" fontId="1" fillId="10" borderId="6" xfId="0" applyFont="1" applyFill="1" applyBorder="1"/>
    <xf numFmtId="0" fontId="1" fillId="0" borderId="7" xfId="0" applyFont="1" applyBorder="1"/>
    <xf numFmtId="0" fontId="1" fillId="10" borderId="8" xfId="0" applyFont="1" applyFill="1" applyBorder="1"/>
    <xf numFmtId="0" fontId="1" fillId="0" borderId="10" xfId="0" applyFont="1" applyBorder="1"/>
    <xf numFmtId="14" fontId="3" fillId="0" borderId="2" xfId="0" applyNumberFormat="1" applyFont="1" applyBorder="1" applyAlignment="1">
      <alignment horizontal="left"/>
    </xf>
    <xf numFmtId="0" fontId="1" fillId="12" borderId="1" xfId="0" applyFont="1" applyFill="1" applyBorder="1"/>
    <xf numFmtId="0" fontId="3" fillId="3" borderId="1" xfId="0" applyFont="1" applyFill="1" applyBorder="1"/>
    <xf numFmtId="0" fontId="5" fillId="0" borderId="2" xfId="0" applyFont="1" applyBorder="1"/>
    <xf numFmtId="0" fontId="6" fillId="0" borderId="0" xfId="0" applyFont="1"/>
    <xf numFmtId="0" fontId="6" fillId="2" borderId="4" xfId="0" applyFont="1" applyFill="1" applyBorder="1"/>
    <xf numFmtId="0" fontId="7" fillId="0" borderId="5" xfId="0" applyFont="1" applyBorder="1" applyAlignment="1">
      <alignment horizontal="left" vertical="center"/>
    </xf>
    <xf numFmtId="0" fontId="6" fillId="0" borderId="2" xfId="0" applyFont="1" applyBorder="1"/>
    <xf numFmtId="0" fontId="6" fillId="8" borderId="6" xfId="0" applyFont="1" applyFill="1" applyBorder="1"/>
    <xf numFmtId="0" fontId="7" fillId="0" borderId="7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/>
    </xf>
    <xf numFmtId="0" fontId="6" fillId="3" borderId="6" xfId="0" applyFont="1" applyFill="1" applyBorder="1"/>
    <xf numFmtId="0" fontId="6" fillId="7" borderId="6" xfId="0" applyFont="1" applyFill="1" applyBorder="1"/>
    <xf numFmtId="0" fontId="6" fillId="4" borderId="8" xfId="0" applyFont="1" applyFill="1" applyBorder="1"/>
    <xf numFmtId="0" fontId="7" fillId="0" borderId="10" xfId="0" applyFont="1" applyBorder="1" applyAlignment="1">
      <alignment vertical="center" wrapText="1"/>
    </xf>
    <xf numFmtId="0" fontId="4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14" borderId="2" xfId="0" applyFont="1" applyFill="1" applyBorder="1"/>
    <xf numFmtId="0" fontId="4" fillId="11" borderId="1" xfId="0" applyFont="1" applyFill="1" applyBorder="1"/>
    <xf numFmtId="0" fontId="4" fillId="0" borderId="1" xfId="0" applyFont="1" applyBorder="1" applyAlignment="1">
      <alignment textRotation="90" wrapText="1"/>
    </xf>
    <xf numFmtId="164" fontId="4" fillId="0" borderId="1" xfId="0" applyNumberFormat="1" applyFont="1" applyBorder="1" applyAlignment="1">
      <alignment textRotation="90" wrapText="1"/>
    </xf>
    <xf numFmtId="0" fontId="6" fillId="0" borderId="1" xfId="0" applyFont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5" fillId="0" borderId="2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770618562219952E-2"/>
          <c:y val="2.1577688947651323E-2"/>
          <c:w val="0.95700016676760946"/>
          <c:h val="0.88804438485823911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'Sprint 1'!$I$15:$W$15</c:f>
              <c:strCache>
                <c:ptCount val="15"/>
                <c:pt idx="0">
                  <c:v>11/08</c:v>
                </c:pt>
                <c:pt idx="1">
                  <c:v>11/09</c:v>
                </c:pt>
                <c:pt idx="2">
                  <c:v>11/10</c:v>
                </c:pt>
                <c:pt idx="3">
                  <c:v>11/11</c:v>
                </c:pt>
                <c:pt idx="4">
                  <c:v>11/12</c:v>
                </c:pt>
                <c:pt idx="5">
                  <c:v>13/11/2025</c:v>
                </c:pt>
                <c:pt idx="6">
                  <c:v>14/11/2025</c:v>
                </c:pt>
                <c:pt idx="7">
                  <c:v>15/11/2025</c:v>
                </c:pt>
                <c:pt idx="8">
                  <c:v>16/11/2025</c:v>
                </c:pt>
                <c:pt idx="9">
                  <c:v>17/11/2025</c:v>
                </c:pt>
                <c:pt idx="10">
                  <c:v>18/11/2025</c:v>
                </c:pt>
                <c:pt idx="11">
                  <c:v>19/11/2025</c:v>
                </c:pt>
                <c:pt idx="12">
                  <c:v>20/11/2025</c:v>
                </c:pt>
                <c:pt idx="13">
                  <c:v>21/11/2025</c:v>
                </c:pt>
                <c:pt idx="14">
                  <c:v>22/11/2025</c:v>
                </c:pt>
              </c:strCache>
            </c:strRef>
          </c:cat>
          <c:val>
            <c:numRef>
              <c:f>'Sprint 1'!$I$89:$W$89</c:f>
              <c:numCache>
                <c:formatCode>General</c:formatCode>
                <c:ptCount val="15"/>
                <c:pt idx="0">
                  <c:v>142</c:v>
                </c:pt>
                <c:pt idx="1">
                  <c:v>140</c:v>
                </c:pt>
                <c:pt idx="2">
                  <c:v>134</c:v>
                </c:pt>
                <c:pt idx="3">
                  <c:v>131</c:v>
                </c:pt>
                <c:pt idx="4">
                  <c:v>130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89</c:v>
                </c:pt>
                <c:pt idx="11">
                  <c:v>85</c:v>
                </c:pt>
                <c:pt idx="12">
                  <c:v>76</c:v>
                </c:pt>
                <c:pt idx="13">
                  <c:v>68</c:v>
                </c:pt>
                <c:pt idx="14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'Sprint 1'!$I$15:$W$15</c:f>
              <c:strCache>
                <c:ptCount val="15"/>
                <c:pt idx="0">
                  <c:v>11/08</c:v>
                </c:pt>
                <c:pt idx="1">
                  <c:v>11/09</c:v>
                </c:pt>
                <c:pt idx="2">
                  <c:v>11/10</c:v>
                </c:pt>
                <c:pt idx="3">
                  <c:v>11/11</c:v>
                </c:pt>
                <c:pt idx="4">
                  <c:v>11/12</c:v>
                </c:pt>
                <c:pt idx="5">
                  <c:v>13/11/2025</c:v>
                </c:pt>
                <c:pt idx="6">
                  <c:v>14/11/2025</c:v>
                </c:pt>
                <c:pt idx="7">
                  <c:v>15/11/2025</c:v>
                </c:pt>
                <c:pt idx="8">
                  <c:v>16/11/2025</c:v>
                </c:pt>
                <c:pt idx="9">
                  <c:v>17/11/2025</c:v>
                </c:pt>
                <c:pt idx="10">
                  <c:v>18/11/2025</c:v>
                </c:pt>
                <c:pt idx="11">
                  <c:v>19/11/2025</c:v>
                </c:pt>
                <c:pt idx="12">
                  <c:v>20/11/2025</c:v>
                </c:pt>
                <c:pt idx="13">
                  <c:v>21/11/2025</c:v>
                </c:pt>
                <c:pt idx="14">
                  <c:v>22/11/2025</c:v>
                </c:pt>
              </c:strCache>
            </c:strRef>
          </c:cat>
          <c:val>
            <c:numRef>
              <c:f>'Sprint 1'!$I$90:$V$90</c:f>
              <c:numCache>
                <c:formatCode>General</c:formatCode>
                <c:ptCount val="14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130</c:v>
                </c:pt>
                <c:pt idx="4">
                  <c:v>126</c:v>
                </c:pt>
                <c:pt idx="5">
                  <c:v>122</c:v>
                </c:pt>
                <c:pt idx="6">
                  <c:v>110</c:v>
                </c:pt>
                <c:pt idx="7">
                  <c:v>105</c:v>
                </c:pt>
                <c:pt idx="8">
                  <c:v>90</c:v>
                </c:pt>
                <c:pt idx="9">
                  <c:v>88</c:v>
                </c:pt>
                <c:pt idx="10">
                  <c:v>84</c:v>
                </c:pt>
                <c:pt idx="11">
                  <c:v>76</c:v>
                </c:pt>
                <c:pt idx="12">
                  <c:v>68</c:v>
                </c:pt>
                <c:pt idx="1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catAx>
        <c:axId val="226296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4464"/>
        <c:crosses val="autoZero"/>
        <c:auto val="1"/>
        <c:lblAlgn val="ctr"/>
        <c:lblOffset val="100"/>
        <c:noMultiLvlLbl val="1"/>
      </c:catAx>
      <c:valAx>
        <c:axId val="2262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07697573705067E-2"/>
          <c:y val="4.987368258913269E-2"/>
          <c:w val="0.89682149659383725"/>
          <c:h val="0.89028939810373198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cat>
            <c:numRef>
              <c:f>sprint2!$I$15:$AG$15</c:f>
              <c:numCache>
                <c:formatCode>dd/mm</c:formatCode>
                <c:ptCount val="25"/>
                <c:pt idx="0">
                  <c:v>45985</c:v>
                </c:pt>
                <c:pt idx="1">
                  <c:v>45986</c:v>
                </c:pt>
                <c:pt idx="2">
                  <c:v>45987</c:v>
                </c:pt>
                <c:pt idx="3">
                  <c:v>45988</c:v>
                </c:pt>
                <c:pt idx="4">
                  <c:v>45989</c:v>
                </c:pt>
                <c:pt idx="5">
                  <c:v>45990</c:v>
                </c:pt>
                <c:pt idx="6">
                  <c:v>45991</c:v>
                </c:pt>
                <c:pt idx="7">
                  <c:v>45992</c:v>
                </c:pt>
                <c:pt idx="8">
                  <c:v>45993</c:v>
                </c:pt>
                <c:pt idx="9">
                  <c:v>45994</c:v>
                </c:pt>
                <c:pt idx="10">
                  <c:v>45995</c:v>
                </c:pt>
                <c:pt idx="11">
                  <c:v>45996</c:v>
                </c:pt>
                <c:pt idx="12">
                  <c:v>45997</c:v>
                </c:pt>
                <c:pt idx="13">
                  <c:v>45998</c:v>
                </c:pt>
                <c:pt idx="14">
                  <c:v>45999</c:v>
                </c:pt>
                <c:pt idx="15">
                  <c:v>46000</c:v>
                </c:pt>
                <c:pt idx="16">
                  <c:v>46001</c:v>
                </c:pt>
                <c:pt idx="17">
                  <c:v>46002</c:v>
                </c:pt>
                <c:pt idx="18">
                  <c:v>46003</c:v>
                </c:pt>
                <c:pt idx="19">
                  <c:v>46004</c:v>
                </c:pt>
                <c:pt idx="20">
                  <c:v>46005</c:v>
                </c:pt>
                <c:pt idx="21">
                  <c:v>46006</c:v>
                </c:pt>
                <c:pt idx="22">
                  <c:v>46007</c:v>
                </c:pt>
                <c:pt idx="23">
                  <c:v>46008</c:v>
                </c:pt>
                <c:pt idx="24">
                  <c:v>46009</c:v>
                </c:pt>
              </c:numCache>
            </c:numRef>
          </c:cat>
          <c:val>
            <c:numRef>
              <c:f>'[1]Sprint 2'!$I$98:$AC$98</c:f>
              <c:numCache>
                <c:formatCode>General</c:formatCode>
                <c:ptCount val="21"/>
                <c:pt idx="0">
                  <c:v>156</c:v>
                </c:pt>
                <c:pt idx="1">
                  <c:v>144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121</c:v>
                </c:pt>
                <c:pt idx="6">
                  <c:v>116</c:v>
                </c:pt>
                <c:pt idx="7">
                  <c:v>114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85</c:v>
                </c:pt>
                <c:pt idx="12">
                  <c:v>79</c:v>
                </c:pt>
                <c:pt idx="13">
                  <c:v>76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24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5-48E9-9402-55E0955078EF}"/>
            </c:ext>
          </c:extLst>
        </c:ser>
        <c:ser>
          <c:idx val="1"/>
          <c:order val="1"/>
          <c:tx>
            <c:v>Ước Tính</c:v>
          </c:tx>
          <c:cat>
            <c:numRef>
              <c:f>sprint2!$I$15:$AG$15</c:f>
              <c:numCache>
                <c:formatCode>dd/mm</c:formatCode>
                <c:ptCount val="25"/>
                <c:pt idx="0">
                  <c:v>45985</c:v>
                </c:pt>
                <c:pt idx="1">
                  <c:v>45986</c:v>
                </c:pt>
                <c:pt idx="2">
                  <c:v>45987</c:v>
                </c:pt>
                <c:pt idx="3">
                  <c:v>45988</c:v>
                </c:pt>
                <c:pt idx="4">
                  <c:v>45989</c:v>
                </c:pt>
                <c:pt idx="5">
                  <c:v>45990</c:v>
                </c:pt>
                <c:pt idx="6">
                  <c:v>45991</c:v>
                </c:pt>
                <c:pt idx="7">
                  <c:v>45992</c:v>
                </c:pt>
                <c:pt idx="8">
                  <c:v>45993</c:v>
                </c:pt>
                <c:pt idx="9">
                  <c:v>45994</c:v>
                </c:pt>
                <c:pt idx="10">
                  <c:v>45995</c:v>
                </c:pt>
                <c:pt idx="11">
                  <c:v>45996</c:v>
                </c:pt>
                <c:pt idx="12">
                  <c:v>45997</c:v>
                </c:pt>
                <c:pt idx="13">
                  <c:v>45998</c:v>
                </c:pt>
                <c:pt idx="14">
                  <c:v>45999</c:v>
                </c:pt>
                <c:pt idx="15">
                  <c:v>46000</c:v>
                </c:pt>
                <c:pt idx="16">
                  <c:v>46001</c:v>
                </c:pt>
                <c:pt idx="17">
                  <c:v>46002</c:v>
                </c:pt>
                <c:pt idx="18">
                  <c:v>46003</c:v>
                </c:pt>
                <c:pt idx="19">
                  <c:v>46004</c:v>
                </c:pt>
                <c:pt idx="20">
                  <c:v>46005</c:v>
                </c:pt>
                <c:pt idx="21">
                  <c:v>46006</c:v>
                </c:pt>
                <c:pt idx="22">
                  <c:v>46007</c:v>
                </c:pt>
                <c:pt idx="23">
                  <c:v>46008</c:v>
                </c:pt>
                <c:pt idx="24">
                  <c:v>46009</c:v>
                </c:pt>
              </c:numCache>
            </c:numRef>
          </c:cat>
          <c:val>
            <c:numRef>
              <c:f>'[1]Sprint 2'!$I$99:$AC$99</c:f>
              <c:numCache>
                <c:formatCode>General</c:formatCode>
                <c:ptCount val="21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126</c:v>
                </c:pt>
                <c:pt idx="6">
                  <c:v>116</c:v>
                </c:pt>
                <c:pt idx="7">
                  <c:v>112</c:v>
                </c:pt>
                <c:pt idx="8">
                  <c:v>107</c:v>
                </c:pt>
                <c:pt idx="9">
                  <c:v>97</c:v>
                </c:pt>
                <c:pt idx="10">
                  <c:v>89</c:v>
                </c:pt>
                <c:pt idx="11">
                  <c:v>83</c:v>
                </c:pt>
                <c:pt idx="12">
                  <c:v>79</c:v>
                </c:pt>
                <c:pt idx="13">
                  <c:v>75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25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5-48E9-9402-55E09550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5640"/>
        <c:axId val="22629681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sprint2!$I$15:$AG$15</c15:sqref>
                        </c15:formulaRef>
                      </c:ext>
                    </c:extLst>
                    <c:strCache>
                      <c:ptCount val="25"/>
                      <c:pt idx="0">
                        <c:v>24/11</c:v>
                      </c:pt>
                      <c:pt idx="1">
                        <c:v>25/11</c:v>
                      </c:pt>
                      <c:pt idx="2">
                        <c:v>26/11</c:v>
                      </c:pt>
                      <c:pt idx="3">
                        <c:v>27/11</c:v>
                      </c:pt>
                      <c:pt idx="4">
                        <c:v>28/11</c:v>
                      </c:pt>
                      <c:pt idx="5">
                        <c:v>29/11</c:v>
                      </c:pt>
                      <c:pt idx="6">
                        <c:v>30/11</c:v>
                      </c:pt>
                      <c:pt idx="7">
                        <c:v>01/12</c:v>
                      </c:pt>
                      <c:pt idx="8">
                        <c:v>02/12</c:v>
                      </c:pt>
                      <c:pt idx="9">
                        <c:v>03/12</c:v>
                      </c:pt>
                      <c:pt idx="10">
                        <c:v>04/12</c:v>
                      </c:pt>
                      <c:pt idx="11">
                        <c:v>05/12</c:v>
                      </c:pt>
                      <c:pt idx="12">
                        <c:v>06/12</c:v>
                      </c:pt>
                      <c:pt idx="13">
                        <c:v>07/12</c:v>
                      </c:pt>
                      <c:pt idx="14">
                        <c:v>08/12</c:v>
                      </c:pt>
                      <c:pt idx="15">
                        <c:v>09/12</c:v>
                      </c:pt>
                      <c:pt idx="16">
                        <c:v>10/12</c:v>
                      </c:pt>
                      <c:pt idx="17">
                        <c:v>11/12</c:v>
                      </c:pt>
                      <c:pt idx="18">
                        <c:v>12/12</c:v>
                      </c:pt>
                      <c:pt idx="19">
                        <c:v>13/12</c:v>
                      </c:pt>
                      <c:pt idx="20">
                        <c:v>14/12</c:v>
                      </c:pt>
                      <c:pt idx="21">
                        <c:v>15/12</c:v>
                      </c:pt>
                      <c:pt idx="22">
                        <c:v>16/12</c:v>
                      </c:pt>
                      <c:pt idx="23">
                        <c:v>17/12</c:v>
                      </c:pt>
                      <c:pt idx="24">
                        <c:v>18/12</c:v>
                      </c:pt>
                    </c:strCache>
                  </c:strRef>
                </c:tx>
                <c:cat>
                  <c:numRef>
                    <c:extLst>
                      <c:ext uri="{02D57815-91ED-43cb-92C2-25804820EDAC}">
                        <c15:formulaRef>
                          <c15:sqref>sprint2!$I$15:$AG$15</c15:sqref>
                        </c15:formulaRef>
                      </c:ext>
                    </c:extLst>
                    <c:numCache>
                      <c:formatCode>dd/mm</c:formatCode>
                      <c:ptCount val="25"/>
                      <c:pt idx="0">
                        <c:v>45985</c:v>
                      </c:pt>
                      <c:pt idx="1">
                        <c:v>45986</c:v>
                      </c:pt>
                      <c:pt idx="2">
                        <c:v>45987</c:v>
                      </c:pt>
                      <c:pt idx="3">
                        <c:v>45988</c:v>
                      </c:pt>
                      <c:pt idx="4">
                        <c:v>45989</c:v>
                      </c:pt>
                      <c:pt idx="5">
                        <c:v>45990</c:v>
                      </c:pt>
                      <c:pt idx="6">
                        <c:v>45991</c:v>
                      </c:pt>
                      <c:pt idx="7">
                        <c:v>45992</c:v>
                      </c:pt>
                      <c:pt idx="8">
                        <c:v>45993</c:v>
                      </c:pt>
                      <c:pt idx="9">
                        <c:v>45994</c:v>
                      </c:pt>
                      <c:pt idx="10">
                        <c:v>45995</c:v>
                      </c:pt>
                      <c:pt idx="11">
                        <c:v>45996</c:v>
                      </c:pt>
                      <c:pt idx="12">
                        <c:v>45997</c:v>
                      </c:pt>
                      <c:pt idx="13">
                        <c:v>45998</c:v>
                      </c:pt>
                      <c:pt idx="14">
                        <c:v>45999</c:v>
                      </c:pt>
                      <c:pt idx="15">
                        <c:v>46000</c:v>
                      </c:pt>
                      <c:pt idx="16">
                        <c:v>46001</c:v>
                      </c:pt>
                      <c:pt idx="17">
                        <c:v>46002</c:v>
                      </c:pt>
                      <c:pt idx="18">
                        <c:v>46003</c:v>
                      </c:pt>
                      <c:pt idx="19">
                        <c:v>46004</c:v>
                      </c:pt>
                      <c:pt idx="20">
                        <c:v>46005</c:v>
                      </c:pt>
                      <c:pt idx="21">
                        <c:v>46006</c:v>
                      </c:pt>
                      <c:pt idx="22">
                        <c:v>46007</c:v>
                      </c:pt>
                      <c:pt idx="23">
                        <c:v>46008</c:v>
                      </c:pt>
                      <c:pt idx="24">
                        <c:v>46009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0-8FB4-4F4D-88C9-361C462C857E}"/>
                  </c:ext>
                </c:extLst>
              </c15:ser>
            </c15:filteredLineSeries>
          </c:ext>
        </c:extLst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51617c-966b-4534-abf2-cbbc67d97d5d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04698031903282E-2"/>
          <c:y val="5.1729693585428588E-2"/>
          <c:w val="0.95151343486797479"/>
          <c:h val="0.90108659718320638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sprint2!$I$15:$AG$15</c:f>
              <c:numCache>
                <c:formatCode>dd/mm</c:formatCode>
                <c:ptCount val="25"/>
                <c:pt idx="0">
                  <c:v>45985</c:v>
                </c:pt>
                <c:pt idx="1">
                  <c:v>45986</c:v>
                </c:pt>
                <c:pt idx="2">
                  <c:v>45987</c:v>
                </c:pt>
                <c:pt idx="3">
                  <c:v>45988</c:v>
                </c:pt>
                <c:pt idx="4">
                  <c:v>45989</c:v>
                </c:pt>
                <c:pt idx="5">
                  <c:v>45990</c:v>
                </c:pt>
                <c:pt idx="6">
                  <c:v>45991</c:v>
                </c:pt>
                <c:pt idx="7">
                  <c:v>45992</c:v>
                </c:pt>
                <c:pt idx="8">
                  <c:v>45993</c:v>
                </c:pt>
                <c:pt idx="9">
                  <c:v>45994</c:v>
                </c:pt>
                <c:pt idx="10">
                  <c:v>45995</c:v>
                </c:pt>
                <c:pt idx="11">
                  <c:v>45996</c:v>
                </c:pt>
                <c:pt idx="12">
                  <c:v>45997</c:v>
                </c:pt>
                <c:pt idx="13">
                  <c:v>45998</c:v>
                </c:pt>
                <c:pt idx="14">
                  <c:v>45999</c:v>
                </c:pt>
                <c:pt idx="15">
                  <c:v>46000</c:v>
                </c:pt>
                <c:pt idx="16">
                  <c:v>46001</c:v>
                </c:pt>
                <c:pt idx="17">
                  <c:v>46002</c:v>
                </c:pt>
                <c:pt idx="18">
                  <c:v>46003</c:v>
                </c:pt>
                <c:pt idx="19">
                  <c:v>46004</c:v>
                </c:pt>
                <c:pt idx="20">
                  <c:v>46005</c:v>
                </c:pt>
                <c:pt idx="21">
                  <c:v>46006</c:v>
                </c:pt>
                <c:pt idx="22">
                  <c:v>46007</c:v>
                </c:pt>
                <c:pt idx="23">
                  <c:v>46008</c:v>
                </c:pt>
                <c:pt idx="24">
                  <c:v>46009</c:v>
                </c:pt>
              </c:numCache>
            </c:numRef>
          </c:cat>
          <c:val>
            <c:numRef>
              <c:f>sprint2!$G$98:$AG$98</c:f>
              <c:numCache>
                <c:formatCode>General</c:formatCode>
                <c:ptCount val="27"/>
                <c:pt idx="0">
                  <c:v>151</c:v>
                </c:pt>
                <c:pt idx="2">
                  <c:v>156</c:v>
                </c:pt>
                <c:pt idx="3">
                  <c:v>144</c:v>
                </c:pt>
                <c:pt idx="4">
                  <c:v>144</c:v>
                </c:pt>
                <c:pt idx="5">
                  <c:v>138</c:v>
                </c:pt>
                <c:pt idx="6">
                  <c:v>134</c:v>
                </c:pt>
                <c:pt idx="7">
                  <c:v>121</c:v>
                </c:pt>
                <c:pt idx="8">
                  <c:v>116</c:v>
                </c:pt>
                <c:pt idx="9">
                  <c:v>116</c:v>
                </c:pt>
                <c:pt idx="10">
                  <c:v>104</c:v>
                </c:pt>
                <c:pt idx="11">
                  <c:v>96</c:v>
                </c:pt>
                <c:pt idx="12">
                  <c:v>93</c:v>
                </c:pt>
                <c:pt idx="13">
                  <c:v>85</c:v>
                </c:pt>
                <c:pt idx="14">
                  <c:v>79</c:v>
                </c:pt>
                <c:pt idx="15">
                  <c:v>76</c:v>
                </c:pt>
                <c:pt idx="16">
                  <c:v>66</c:v>
                </c:pt>
                <c:pt idx="17">
                  <c:v>55</c:v>
                </c:pt>
                <c:pt idx="18">
                  <c:v>49</c:v>
                </c:pt>
                <c:pt idx="19">
                  <c:v>38</c:v>
                </c:pt>
                <c:pt idx="20">
                  <c:v>28</c:v>
                </c:pt>
                <c:pt idx="21">
                  <c:v>24</c:v>
                </c:pt>
                <c:pt idx="22">
                  <c:v>11</c:v>
                </c:pt>
                <c:pt idx="23">
                  <c:v>10</c:v>
                </c:pt>
                <c:pt idx="24">
                  <c:v>8</c:v>
                </c:pt>
                <c:pt idx="25">
                  <c:v>6</c:v>
                </c:pt>
                <c:pt idx="2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F-42B4-9D3B-AB25A5309BEC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sprint2!$I$15:$AG$15</c:f>
              <c:numCache>
                <c:formatCode>dd/mm</c:formatCode>
                <c:ptCount val="25"/>
                <c:pt idx="0">
                  <c:v>45985</c:v>
                </c:pt>
                <c:pt idx="1">
                  <c:v>45986</c:v>
                </c:pt>
                <c:pt idx="2">
                  <c:v>45987</c:v>
                </c:pt>
                <c:pt idx="3">
                  <c:v>45988</c:v>
                </c:pt>
                <c:pt idx="4">
                  <c:v>45989</c:v>
                </c:pt>
                <c:pt idx="5">
                  <c:v>45990</c:v>
                </c:pt>
                <c:pt idx="6">
                  <c:v>45991</c:v>
                </c:pt>
                <c:pt idx="7">
                  <c:v>45992</c:v>
                </c:pt>
                <c:pt idx="8">
                  <c:v>45993</c:v>
                </c:pt>
                <c:pt idx="9">
                  <c:v>45994</c:v>
                </c:pt>
                <c:pt idx="10">
                  <c:v>45995</c:v>
                </c:pt>
                <c:pt idx="11">
                  <c:v>45996</c:v>
                </c:pt>
                <c:pt idx="12">
                  <c:v>45997</c:v>
                </c:pt>
                <c:pt idx="13">
                  <c:v>45998</c:v>
                </c:pt>
                <c:pt idx="14">
                  <c:v>45999</c:v>
                </c:pt>
                <c:pt idx="15">
                  <c:v>46000</c:v>
                </c:pt>
                <c:pt idx="16">
                  <c:v>46001</c:v>
                </c:pt>
                <c:pt idx="17">
                  <c:v>46002</c:v>
                </c:pt>
                <c:pt idx="18">
                  <c:v>46003</c:v>
                </c:pt>
                <c:pt idx="19">
                  <c:v>46004</c:v>
                </c:pt>
                <c:pt idx="20">
                  <c:v>46005</c:v>
                </c:pt>
                <c:pt idx="21">
                  <c:v>46006</c:v>
                </c:pt>
                <c:pt idx="22">
                  <c:v>46007</c:v>
                </c:pt>
                <c:pt idx="23">
                  <c:v>46008</c:v>
                </c:pt>
                <c:pt idx="24">
                  <c:v>46009</c:v>
                </c:pt>
              </c:numCache>
            </c:numRef>
          </c:cat>
          <c:val>
            <c:numRef>
              <c:f>sprint2!$G$99:$AG$99</c:f>
              <c:numCache>
                <c:formatCode>General</c:formatCode>
                <c:ptCount val="27"/>
                <c:pt idx="0">
                  <c:v>151</c:v>
                </c:pt>
                <c:pt idx="2">
                  <c:v>156</c:v>
                </c:pt>
                <c:pt idx="3">
                  <c:v>146</c:v>
                </c:pt>
                <c:pt idx="4">
                  <c:v>142</c:v>
                </c:pt>
                <c:pt idx="5">
                  <c:v>138</c:v>
                </c:pt>
                <c:pt idx="6">
                  <c:v>133</c:v>
                </c:pt>
                <c:pt idx="7">
                  <c:v>126</c:v>
                </c:pt>
                <c:pt idx="8">
                  <c:v>116</c:v>
                </c:pt>
                <c:pt idx="9">
                  <c:v>112</c:v>
                </c:pt>
                <c:pt idx="10">
                  <c:v>107</c:v>
                </c:pt>
                <c:pt idx="11">
                  <c:v>97</c:v>
                </c:pt>
                <c:pt idx="12">
                  <c:v>90</c:v>
                </c:pt>
                <c:pt idx="13">
                  <c:v>83</c:v>
                </c:pt>
                <c:pt idx="14">
                  <c:v>79</c:v>
                </c:pt>
                <c:pt idx="15">
                  <c:v>75</c:v>
                </c:pt>
                <c:pt idx="16">
                  <c:v>66</c:v>
                </c:pt>
                <c:pt idx="17">
                  <c:v>55</c:v>
                </c:pt>
                <c:pt idx="18">
                  <c:v>45</c:v>
                </c:pt>
                <c:pt idx="19">
                  <c:v>38</c:v>
                </c:pt>
                <c:pt idx="20">
                  <c:v>28</c:v>
                </c:pt>
                <c:pt idx="21">
                  <c:v>25</c:v>
                </c:pt>
                <c:pt idx="22">
                  <c:v>10</c:v>
                </c:pt>
                <c:pt idx="23">
                  <c:v>9</c:v>
                </c:pt>
                <c:pt idx="24">
                  <c:v>6</c:v>
                </c:pt>
                <c:pt idx="25">
                  <c:v>5</c:v>
                </c:pt>
                <c:pt idx="2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F-42B4-9D3B-AB25A530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554208"/>
        <c:axId val="1636554688"/>
      </c:lineChart>
      <c:dateAx>
        <c:axId val="1636554208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54688"/>
        <c:crosses val="autoZero"/>
        <c:auto val="1"/>
        <c:lblOffset val="100"/>
        <c:baseTimeUnit val="days"/>
      </c:dateAx>
      <c:valAx>
        <c:axId val="16365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1447800">
            <a:schemeClr val="accent1">
              <a:alpha val="19000"/>
            </a:schemeClr>
          </a:glow>
          <a:outerShdw blurRad="50800" dir="5400000" sx="1000" sy="1000" algn="ctr" rotWithShape="0">
            <a:srgbClr val="000000"/>
          </a:outerShdw>
          <a:softEdge rad="55880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476249</xdr:colOff>
      <xdr:row>119</xdr:row>
      <xdr:rowOff>122464</xdr:rowOff>
    </xdr:from>
    <xdr:to>
      <xdr:col>3</xdr:col>
      <xdr:colOff>521968</xdr:colOff>
      <xdr:row>119</xdr:row>
      <xdr:rowOff>168183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FCCF3-045E-4563-AD4A-EC06C865D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95251</xdr:colOff>
      <xdr:row>101</xdr:row>
      <xdr:rowOff>9522</xdr:rowOff>
    </xdr:from>
    <xdr:to>
      <xdr:col>33</xdr:col>
      <xdr:colOff>136071</xdr:colOff>
      <xdr:row>146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CFFEB-B1A4-0A88-833E-F14D08A1A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int 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"/>
  <sheetViews>
    <sheetView tabSelected="1" zoomScale="70" zoomScaleNormal="70" workbookViewId="0">
      <selection activeCell="F9" sqref="F9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23" ht="28.8" thickBot="1" x14ac:dyDescent="0.35">
      <c r="A1" s="70" t="s">
        <v>3</v>
      </c>
      <c r="B1" s="70"/>
      <c r="C1" s="56" t="s">
        <v>128</v>
      </c>
      <c r="E1" s="8"/>
      <c r="F1" s="9" t="s">
        <v>58</v>
      </c>
    </row>
    <row r="2" spans="1:23" ht="17.399999999999999" thickBot="1" x14ac:dyDescent="0.35">
      <c r="A2" s="70" t="s">
        <v>2</v>
      </c>
      <c r="B2" s="70"/>
      <c r="C2" s="3" t="s">
        <v>4</v>
      </c>
      <c r="E2" s="11"/>
      <c r="F2" s="10" t="s">
        <v>55</v>
      </c>
    </row>
    <row r="3" spans="1:23" ht="17.399999999999999" thickBot="1" x14ac:dyDescent="0.35">
      <c r="A3" s="70" t="s">
        <v>1</v>
      </c>
      <c r="B3" s="70"/>
      <c r="C3" s="31">
        <v>45969</v>
      </c>
      <c r="E3" s="12"/>
      <c r="F3" s="13" t="s">
        <v>53</v>
      </c>
    </row>
    <row r="4" spans="1:23" ht="17.25" customHeight="1" thickBot="1" x14ac:dyDescent="0.35">
      <c r="A4" s="70" t="s">
        <v>0</v>
      </c>
      <c r="B4" s="70"/>
      <c r="C4" s="31" t="s">
        <v>126</v>
      </c>
    </row>
    <row r="5" spans="1:23" ht="16.5" customHeight="1" thickBot="1" x14ac:dyDescent="0.35"/>
    <row r="6" spans="1:23" ht="17.399999999999999" thickBot="1" x14ac:dyDescent="0.35">
      <c r="B6" s="71" t="s">
        <v>5</v>
      </c>
      <c r="C6" s="71"/>
      <c r="D6" s="71"/>
      <c r="E6" s="71"/>
    </row>
    <row r="7" spans="1:23" ht="17.399999999999999" thickBot="1" x14ac:dyDescent="0.35">
      <c r="B7" s="5" t="s">
        <v>6</v>
      </c>
      <c r="C7" s="5" t="s">
        <v>50</v>
      </c>
      <c r="D7" s="5" t="s">
        <v>11</v>
      </c>
      <c r="E7" s="5" t="s">
        <v>49</v>
      </c>
    </row>
    <row r="8" spans="1:23" ht="17.399999999999999" thickBot="1" x14ac:dyDescent="0.35">
      <c r="B8" s="6">
        <v>1</v>
      </c>
      <c r="C8" s="3" t="s">
        <v>79</v>
      </c>
      <c r="D8" s="3">
        <f ca="1">SUMIF($E$16:$F$88,"Thành",$G$16:$G$88)+SUMIF($E$16:$F$88,"All team",$G$16:$G$88)/5+SUMIF($E$16:$F$88,"Thành,Mạnh",$G$16:$G$88)/2</f>
        <v>10.8</v>
      </c>
      <c r="E8" s="3">
        <f ca="1">SUMIF($E$16:$F$88,"Thành",$H$16:$H$88)+SUMIF($E$16:$F$88,"All team",$H$16:$H$88)/5+SUMIF($E$16:$F$88,"Thành,Mạnh",$H$16:$H$88)/2</f>
        <v>11.6</v>
      </c>
    </row>
    <row r="9" spans="1:23" ht="17.399999999999999" thickBot="1" x14ac:dyDescent="0.35">
      <c r="B9" s="6">
        <v>2</v>
      </c>
      <c r="C9" s="3" t="s">
        <v>80</v>
      </c>
      <c r="D9" s="3">
        <f ca="1">SUMIF($E$16:$F$88,"Mạnh",$G$16:$G$88)+SUMIF($E$16:$F$88,"All team",$G$16:$G$88)/5+SUMIF($E$16:$F$88,"Thành,Mạnh",$G$16:$G$88)/2+SUMIF($E$16:$F$88,"Mạnh,Phương",$G$16:$G$88)/2+SUMIF($E$16:$F$88,"Mạnh,Lộc,Phương,Hoàng",$G$16:$G$88)/4</f>
        <v>10.8</v>
      </c>
      <c r="E9" s="3">
        <f ca="1">SUMIF($E$16:$F$88,"Mạnh",$H$16:$H$88)+SUMIF($E$16:$F$88,"All team",$H$16:$H$88)/5+SUMIF($E$16:$F$88,"Thành,Mạnh",$H$16:$H$88)/2+SUMIF($E$16:$F$88,"Mạnh,Phương",$H$16:$H$88)/2+SUMIF($E$16:$F$88,"Mạnh,Lộc,Phương,Hoàng",$H$16:$H$88)/4</f>
        <v>11.6</v>
      </c>
    </row>
    <row r="10" spans="1:23" ht="17.399999999999999" thickBot="1" x14ac:dyDescent="0.35">
      <c r="B10" s="6">
        <v>3</v>
      </c>
      <c r="C10" s="3" t="s">
        <v>81</v>
      </c>
      <c r="D10" s="3">
        <f ca="1">SUMIF($E$16:$F$88,"Phương",$G$16:$G$88)+SUMIF($E$16:$F$88,"All team",$G$16:$G$88)/5+SUMIF($E$16:$F$88,"Mạnh,Phương",$G$16:$G$88)/2+SUMIF($E$16:$F$88,"Mạnh,Lộc,Phương,Hoàng",$G$16:$G$88)/4</f>
        <v>10.8</v>
      </c>
      <c r="E10" s="3">
        <f ca="1">SUMIF($E$16:$F$88,"Phương",$H$16:$H$88)+SUMIF($E$16:$F$88,"All team",$H$16:$H$88)/5+SUMIF($E$16:$F$88,"Mạnh,Phương",$H$16:$H$88)/2+SUMIF($E$16:$F$88,"Mạnh,Lộc,Phương,Hoàng",$H$16:$H$88)/4</f>
        <v>11.6</v>
      </c>
    </row>
    <row r="11" spans="1:23" ht="17.399999999999999" thickBot="1" x14ac:dyDescent="0.35">
      <c r="B11" s="6">
        <v>4</v>
      </c>
      <c r="C11" s="3" t="s">
        <v>81</v>
      </c>
      <c r="D11" s="3">
        <f ca="1">SUMIF($E$16:$F$88,"Lộc",$G$16:$G$88)+SUMIF($E$16:$F$88,"All team",$G$16:$G$88)/5+SUMIF($E$16:$F$88,"Mạnh,Lộc,Phương,Hoàng",$G$16:$G$88)/4</f>
        <v>10.8</v>
      </c>
      <c r="E11" s="3">
        <f ca="1">SUMIF($E$16:$F$88,"Lộc",$H$16:$H$88)+SUMIF($E$16:$F$88,"All team",$H$16:$H$88)/5+SUMIF($E$16:$F$88,"Mạnh,Lộc,Phương,Hoàng",$H$16:$H$88)/4</f>
        <v>11.6</v>
      </c>
    </row>
    <row r="12" spans="1:23" ht="17.399999999999999" thickBot="1" x14ac:dyDescent="0.35">
      <c r="B12" s="6">
        <v>5</v>
      </c>
      <c r="C12" s="3" t="s">
        <v>82</v>
      </c>
      <c r="D12" s="3">
        <f ca="1">SUMIF($E$16:$F$88,"Hoàng",$G$16:$G$88)+SUMIF($E$16:$F$88,"All team",$G$16:$G$88)/5+SUMIF($E$16:$F$88,"Mạnh,Lộc,Phương,Hoàng",$G$16:$G$88)/4</f>
        <v>10.8</v>
      </c>
      <c r="E12" s="3">
        <f ca="1">SUMIF($E$16:$F$88,"Hoàng",$H$16:$H$88)+SUMIF($E$16:$F$88,"All team",$H$16:$H$88)/5+SUMIF($E$16:$F$88,"Mạnh,Lộc,Phương,Hoàng",$H$16:$H$88)/4</f>
        <v>11.6</v>
      </c>
    </row>
    <row r="13" spans="1:23" ht="17.399999999999999" thickBot="1" x14ac:dyDescent="0.35">
      <c r="B13" s="71" t="s">
        <v>12</v>
      </c>
      <c r="C13" s="71"/>
      <c r="D13" s="4">
        <f ca="1">SUM(D8:D12)</f>
        <v>54</v>
      </c>
      <c r="E13" s="4">
        <f ca="1">SUM(E8:E12)</f>
        <v>58</v>
      </c>
    </row>
    <row r="14" spans="1:23" x14ac:dyDescent="0.3">
      <c r="W14" s="1" t="s">
        <v>127</v>
      </c>
    </row>
    <row r="15" spans="1:23" ht="62.25" customHeight="1" x14ac:dyDescent="0.3">
      <c r="A15" s="14" t="s">
        <v>7</v>
      </c>
      <c r="B15" s="14" t="s">
        <v>8</v>
      </c>
      <c r="C15" s="72" t="s">
        <v>9</v>
      </c>
      <c r="D15" s="73"/>
      <c r="E15" s="72" t="s">
        <v>10</v>
      </c>
      <c r="F15" s="73"/>
      <c r="G15" s="15" t="s">
        <v>11</v>
      </c>
      <c r="H15" s="15" t="s">
        <v>49</v>
      </c>
      <c r="I15" s="16">
        <v>45880</v>
      </c>
      <c r="J15" s="16">
        <v>45911</v>
      </c>
      <c r="K15" s="16">
        <v>45941</v>
      </c>
      <c r="L15" s="16">
        <v>45972</v>
      </c>
      <c r="M15" s="16">
        <v>46002</v>
      </c>
      <c r="N15" s="16" t="s">
        <v>117</v>
      </c>
      <c r="O15" s="16" t="s">
        <v>118</v>
      </c>
      <c r="P15" s="16" t="s">
        <v>119</v>
      </c>
      <c r="Q15" s="16" t="s">
        <v>120</v>
      </c>
      <c r="R15" s="16" t="s">
        <v>121</v>
      </c>
      <c r="S15" s="16" t="s">
        <v>122</v>
      </c>
      <c r="T15" s="16" t="s">
        <v>123</v>
      </c>
      <c r="U15" s="16" t="s">
        <v>124</v>
      </c>
      <c r="V15" s="16" t="s">
        <v>125</v>
      </c>
      <c r="W15" s="16" t="s">
        <v>126</v>
      </c>
    </row>
    <row r="16" spans="1:23" x14ac:dyDescent="0.3">
      <c r="A16" s="67" t="s">
        <v>4</v>
      </c>
      <c r="B16" s="57" t="s">
        <v>13</v>
      </c>
      <c r="C16" s="74"/>
      <c r="D16" s="58"/>
      <c r="E16" s="59" t="s">
        <v>48</v>
      </c>
      <c r="F16" s="60"/>
      <c r="G16" s="17">
        <f>H16-I16</f>
        <v>10</v>
      </c>
      <c r="H16" s="17">
        <v>10</v>
      </c>
      <c r="I16" s="18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</row>
    <row r="17" spans="1:23" x14ac:dyDescent="0.3">
      <c r="A17" s="68"/>
      <c r="B17" s="57" t="s">
        <v>14</v>
      </c>
      <c r="C17" s="74"/>
      <c r="D17" s="58"/>
      <c r="E17" s="59" t="s">
        <v>48</v>
      </c>
      <c r="F17" s="60"/>
      <c r="G17" s="17">
        <v>4</v>
      </c>
      <c r="H17" s="17">
        <v>4</v>
      </c>
      <c r="I17" s="17">
        <v>4</v>
      </c>
      <c r="J17" s="18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</row>
    <row r="18" spans="1:23" x14ac:dyDescent="0.3">
      <c r="A18" s="68"/>
      <c r="B18" s="57" t="s">
        <v>15</v>
      </c>
      <c r="C18" s="74"/>
      <c r="D18" s="58"/>
      <c r="E18" s="59" t="s">
        <v>48</v>
      </c>
      <c r="F18" s="60"/>
      <c r="G18" s="17">
        <f>H18-K18</f>
        <v>4</v>
      </c>
      <c r="H18" s="17">
        <v>4</v>
      </c>
      <c r="I18" s="17">
        <v>4</v>
      </c>
      <c r="J18" s="17">
        <v>4</v>
      </c>
      <c r="K18" s="18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</row>
    <row r="19" spans="1:23" ht="16.5" customHeight="1" x14ac:dyDescent="0.3">
      <c r="A19" s="68"/>
      <c r="B19" s="67" t="s">
        <v>17</v>
      </c>
      <c r="C19" s="57" t="s">
        <v>16</v>
      </c>
      <c r="D19" s="58"/>
      <c r="E19" s="59" t="s">
        <v>83</v>
      </c>
      <c r="F19" s="60"/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8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</row>
    <row r="20" spans="1:23" x14ac:dyDescent="0.3">
      <c r="A20" s="68"/>
      <c r="B20" s="68"/>
      <c r="C20" s="57" t="s">
        <v>59</v>
      </c>
      <c r="D20" s="58"/>
      <c r="E20" s="59" t="s">
        <v>83</v>
      </c>
      <c r="F20" s="60"/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8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</row>
    <row r="21" spans="1:23" x14ac:dyDescent="0.3">
      <c r="A21" s="68"/>
      <c r="B21" s="68"/>
      <c r="C21" s="57" t="s">
        <v>84</v>
      </c>
      <c r="D21" s="58"/>
      <c r="E21" s="59" t="s">
        <v>89</v>
      </c>
      <c r="F21" s="60"/>
      <c r="G21" s="17">
        <v>2</v>
      </c>
      <c r="H21" s="17">
        <v>1</v>
      </c>
      <c r="I21" s="17">
        <v>1</v>
      </c>
      <c r="J21" s="17">
        <v>1</v>
      </c>
      <c r="K21" s="17">
        <v>1</v>
      </c>
      <c r="L21" s="18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</row>
    <row r="22" spans="1:23" x14ac:dyDescent="0.3">
      <c r="A22" s="68"/>
      <c r="B22" s="68"/>
      <c r="C22" s="57"/>
      <c r="D22" s="58"/>
      <c r="E22" s="59"/>
      <c r="F22" s="60"/>
      <c r="G22" s="17"/>
      <c r="H22" s="17"/>
      <c r="I22" s="17"/>
      <c r="J22" s="17"/>
      <c r="K22" s="17"/>
      <c r="L22" s="33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x14ac:dyDescent="0.3">
      <c r="A23" s="68"/>
      <c r="B23" s="68"/>
      <c r="C23" s="57" t="s">
        <v>86</v>
      </c>
      <c r="D23" s="58"/>
      <c r="E23" s="59" t="s">
        <v>85</v>
      </c>
      <c r="F23" s="60"/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8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</row>
    <row r="24" spans="1:23" x14ac:dyDescent="0.3">
      <c r="A24" s="68"/>
      <c r="B24" s="68"/>
      <c r="C24" s="57" t="s">
        <v>87</v>
      </c>
      <c r="D24" s="58"/>
      <c r="E24" s="59" t="s">
        <v>85</v>
      </c>
      <c r="F24" s="60"/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8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</row>
    <row r="25" spans="1:23" x14ac:dyDescent="0.3">
      <c r="A25" s="68"/>
      <c r="B25" s="68"/>
      <c r="C25" s="57" t="s">
        <v>92</v>
      </c>
      <c r="D25" s="58"/>
      <c r="E25" s="59" t="s">
        <v>88</v>
      </c>
      <c r="F25" s="60"/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8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</row>
    <row r="26" spans="1:23" x14ac:dyDescent="0.3">
      <c r="A26" s="68"/>
      <c r="B26" s="68"/>
      <c r="C26" s="57" t="s">
        <v>91</v>
      </c>
      <c r="D26" s="58"/>
      <c r="E26" s="59" t="s">
        <v>88</v>
      </c>
      <c r="F26" s="60"/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32">
        <v>1</v>
      </c>
      <c r="N26" s="18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</row>
    <row r="27" spans="1:23" x14ac:dyDescent="0.3">
      <c r="A27" s="68"/>
      <c r="B27" s="68"/>
      <c r="C27" s="57" t="s">
        <v>60</v>
      </c>
      <c r="D27" s="58"/>
      <c r="E27" s="59" t="s">
        <v>90</v>
      </c>
      <c r="F27" s="60"/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32">
        <v>1</v>
      </c>
      <c r="N27" s="18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</row>
    <row r="28" spans="1:23" x14ac:dyDescent="0.3">
      <c r="A28" s="68"/>
      <c r="B28" s="68"/>
      <c r="C28" s="57" t="s">
        <v>21</v>
      </c>
      <c r="D28" s="58"/>
      <c r="E28" s="59" t="s">
        <v>48</v>
      </c>
      <c r="F28" s="60"/>
      <c r="G28" s="17">
        <f>H28+N29</f>
        <v>10</v>
      </c>
      <c r="H28" s="17">
        <v>10</v>
      </c>
      <c r="I28" s="17">
        <v>10</v>
      </c>
      <c r="J28" s="17">
        <v>10</v>
      </c>
      <c r="K28" s="17">
        <v>10</v>
      </c>
      <c r="L28" s="17">
        <v>10</v>
      </c>
      <c r="M28" s="17">
        <v>10</v>
      </c>
      <c r="N28" s="17">
        <v>10</v>
      </c>
      <c r="O28" s="17">
        <v>10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</row>
    <row r="29" spans="1:23" x14ac:dyDescent="0.3">
      <c r="A29" s="68"/>
      <c r="B29" s="69"/>
      <c r="C29" s="57"/>
      <c r="D29" s="58"/>
      <c r="E29" s="59"/>
      <c r="F29" s="60"/>
      <c r="G29" s="17"/>
      <c r="H29" s="17"/>
      <c r="I29" s="17"/>
      <c r="J29" s="20">
        <v>2</v>
      </c>
      <c r="K29" s="17"/>
      <c r="L29" s="17"/>
      <c r="M29" s="17"/>
      <c r="N29" s="17"/>
      <c r="O29" s="19">
        <v>-4</v>
      </c>
      <c r="P29" s="17"/>
      <c r="Q29" s="17"/>
      <c r="R29" s="17"/>
      <c r="S29" s="17"/>
      <c r="T29" s="17"/>
      <c r="U29" s="17"/>
      <c r="V29" s="17"/>
      <c r="W29" s="17"/>
    </row>
    <row r="30" spans="1:23" x14ac:dyDescent="0.3">
      <c r="A30" s="68"/>
      <c r="B30" s="67" t="s">
        <v>22</v>
      </c>
      <c r="C30" s="57" t="s">
        <v>18</v>
      </c>
      <c r="D30" s="58"/>
      <c r="E30" s="59" t="s">
        <v>83</v>
      </c>
      <c r="F30" s="60"/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8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</row>
    <row r="31" spans="1:23" x14ac:dyDescent="0.3">
      <c r="A31" s="68"/>
      <c r="B31" s="68"/>
      <c r="C31" s="57" t="s">
        <v>61</v>
      </c>
      <c r="D31" s="58"/>
      <c r="E31" s="59" t="s">
        <v>83</v>
      </c>
      <c r="F31" s="60"/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8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</row>
    <row r="32" spans="1:23" x14ac:dyDescent="0.3">
      <c r="A32" s="68"/>
      <c r="B32" s="68"/>
      <c r="C32" s="57" t="s">
        <v>19</v>
      </c>
      <c r="D32" s="58"/>
      <c r="E32" s="59" t="s">
        <v>88</v>
      </c>
      <c r="F32" s="60"/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8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</row>
    <row r="33" spans="1:23" x14ac:dyDescent="0.3">
      <c r="A33" s="68"/>
      <c r="B33" s="68"/>
      <c r="C33" s="57" t="s">
        <v>93</v>
      </c>
      <c r="D33" s="58"/>
      <c r="E33" s="59" t="s">
        <v>89</v>
      </c>
      <c r="F33" s="60"/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8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</row>
    <row r="34" spans="1:23" x14ac:dyDescent="0.3">
      <c r="A34" s="68"/>
      <c r="B34" s="68"/>
      <c r="C34" s="57" t="s">
        <v>94</v>
      </c>
      <c r="D34" s="58"/>
      <c r="E34" s="59" t="s">
        <v>85</v>
      </c>
      <c r="F34" s="60"/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8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</row>
    <row r="35" spans="1:23" x14ac:dyDescent="0.3">
      <c r="A35" s="68"/>
      <c r="B35" s="68"/>
      <c r="C35" s="57" t="s">
        <v>95</v>
      </c>
      <c r="D35" s="58"/>
      <c r="E35" s="59" t="s">
        <v>85</v>
      </c>
      <c r="F35" s="60"/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8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</row>
    <row r="36" spans="1:23" x14ac:dyDescent="0.3">
      <c r="A36" s="68"/>
      <c r="B36" s="68"/>
      <c r="C36" s="57" t="s">
        <v>62</v>
      </c>
      <c r="D36" s="58"/>
      <c r="E36" s="59" t="s">
        <v>88</v>
      </c>
      <c r="F36" s="60"/>
      <c r="G36" s="17">
        <v>2</v>
      </c>
      <c r="H36" s="17">
        <v>2</v>
      </c>
      <c r="I36" s="17">
        <v>2</v>
      </c>
      <c r="J36" s="17">
        <v>2</v>
      </c>
      <c r="K36" s="17">
        <v>2</v>
      </c>
      <c r="L36" s="17">
        <v>2</v>
      </c>
      <c r="M36" s="17">
        <v>2</v>
      </c>
      <c r="N36" s="17">
        <v>2</v>
      </c>
      <c r="O36" s="17">
        <v>2</v>
      </c>
      <c r="P36" s="32">
        <v>2</v>
      </c>
      <c r="Q36" s="18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</row>
    <row r="37" spans="1:23" x14ac:dyDescent="0.3">
      <c r="A37" s="68"/>
      <c r="B37" s="68"/>
      <c r="C37" s="57" t="s">
        <v>63</v>
      </c>
      <c r="D37" s="58"/>
      <c r="E37" s="59" t="s">
        <v>90</v>
      </c>
      <c r="F37" s="60"/>
      <c r="G37" s="17">
        <v>3</v>
      </c>
      <c r="H37" s="17">
        <v>2</v>
      </c>
      <c r="I37" s="17">
        <v>2</v>
      </c>
      <c r="J37" s="17">
        <v>2</v>
      </c>
      <c r="K37" s="17">
        <v>2</v>
      </c>
      <c r="L37" s="17">
        <v>2</v>
      </c>
      <c r="M37" s="17">
        <v>2</v>
      </c>
      <c r="N37" s="17">
        <v>2</v>
      </c>
      <c r="O37" s="17">
        <v>2</v>
      </c>
      <c r="P37" s="32">
        <v>2</v>
      </c>
      <c r="Q37" s="18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</row>
    <row r="38" spans="1:23" x14ac:dyDescent="0.3">
      <c r="A38" s="68"/>
      <c r="B38" s="68"/>
      <c r="C38" s="57"/>
      <c r="D38" s="58"/>
      <c r="E38" s="59"/>
      <c r="F38" s="60"/>
      <c r="G38" s="17"/>
      <c r="H38" s="17"/>
      <c r="I38" s="17"/>
      <c r="J38" s="17"/>
      <c r="K38" s="17"/>
      <c r="L38" s="17"/>
      <c r="M38" s="17"/>
      <c r="N38" s="17"/>
      <c r="O38" s="17"/>
      <c r="P38" s="32"/>
      <c r="Q38" s="33">
        <v>1</v>
      </c>
      <c r="R38" s="17"/>
      <c r="S38" s="17"/>
      <c r="T38" s="17"/>
      <c r="U38" s="17"/>
      <c r="V38" s="17"/>
      <c r="W38" s="17"/>
    </row>
    <row r="39" spans="1:23" x14ac:dyDescent="0.3">
      <c r="A39" s="68"/>
      <c r="B39" s="68"/>
      <c r="C39" s="57" t="s">
        <v>20</v>
      </c>
      <c r="D39" s="58"/>
      <c r="E39" s="59" t="s">
        <v>48</v>
      </c>
      <c r="F39" s="60"/>
      <c r="G39" s="17">
        <v>8</v>
      </c>
      <c r="H39" s="17">
        <v>10</v>
      </c>
      <c r="I39" s="17">
        <v>10</v>
      </c>
      <c r="J39" s="17">
        <v>10</v>
      </c>
      <c r="K39" s="17">
        <v>10</v>
      </c>
      <c r="L39" s="17">
        <v>10</v>
      </c>
      <c r="M39" s="17">
        <v>10</v>
      </c>
      <c r="N39" s="17">
        <v>10</v>
      </c>
      <c r="O39" s="17">
        <v>10</v>
      </c>
      <c r="P39" s="17">
        <v>10</v>
      </c>
      <c r="Q39" s="32">
        <v>8</v>
      </c>
      <c r="R39" s="18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</row>
    <row r="40" spans="1:23" x14ac:dyDescent="0.3">
      <c r="A40" s="68"/>
      <c r="B40" s="69"/>
      <c r="C40" s="57"/>
      <c r="D40" s="58"/>
      <c r="E40" s="59"/>
      <c r="F40" s="60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9">
        <v>-2</v>
      </c>
      <c r="S40" s="17"/>
      <c r="T40" s="17"/>
      <c r="U40" s="17"/>
      <c r="V40" s="17"/>
      <c r="W40" s="17"/>
    </row>
    <row r="41" spans="1:23" x14ac:dyDescent="0.3">
      <c r="A41" s="68"/>
      <c r="B41" s="67" t="s">
        <v>28</v>
      </c>
      <c r="C41" s="57" t="s">
        <v>64</v>
      </c>
      <c r="D41" s="58"/>
      <c r="E41" s="59" t="s">
        <v>88</v>
      </c>
      <c r="F41" s="60"/>
      <c r="G41" s="17">
        <v>2</v>
      </c>
      <c r="H41" s="17">
        <v>2</v>
      </c>
      <c r="I41" s="17">
        <v>2</v>
      </c>
      <c r="J41" s="17">
        <v>2</v>
      </c>
      <c r="K41" s="17">
        <v>2</v>
      </c>
      <c r="L41" s="17">
        <v>2</v>
      </c>
      <c r="M41" s="17">
        <v>2</v>
      </c>
      <c r="N41" s="17">
        <v>2</v>
      </c>
      <c r="O41" s="17">
        <v>2</v>
      </c>
      <c r="P41" s="17">
        <v>2</v>
      </c>
      <c r="Q41" s="17">
        <v>2</v>
      </c>
      <c r="R41" s="18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</row>
    <row r="42" spans="1:23" x14ac:dyDescent="0.3">
      <c r="A42" s="68"/>
      <c r="B42" s="68"/>
      <c r="C42" s="57" t="s">
        <v>65</v>
      </c>
      <c r="D42" s="58"/>
      <c r="E42" s="59" t="s">
        <v>90</v>
      </c>
      <c r="F42" s="60"/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7">
        <v>2</v>
      </c>
      <c r="Q42" s="17">
        <v>2</v>
      </c>
      <c r="R42" s="18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x14ac:dyDescent="0.3">
      <c r="A43" s="68"/>
      <c r="B43" s="68"/>
      <c r="C43" s="57" t="s">
        <v>66</v>
      </c>
      <c r="D43" s="58"/>
      <c r="E43" s="59" t="s">
        <v>88</v>
      </c>
      <c r="F43" s="60"/>
      <c r="G43" s="17">
        <v>3</v>
      </c>
      <c r="H43" s="17">
        <v>2</v>
      </c>
      <c r="I43" s="17">
        <v>2</v>
      </c>
      <c r="J43" s="17">
        <v>2</v>
      </c>
      <c r="K43" s="17">
        <v>2</v>
      </c>
      <c r="L43" s="17">
        <v>2</v>
      </c>
      <c r="M43" s="17">
        <v>2</v>
      </c>
      <c r="N43" s="17">
        <v>2</v>
      </c>
      <c r="O43" s="17">
        <v>2</v>
      </c>
      <c r="P43" s="17">
        <v>2</v>
      </c>
      <c r="Q43" s="17">
        <v>2</v>
      </c>
      <c r="R43" s="17">
        <v>2</v>
      </c>
      <c r="S43" s="18">
        <v>0</v>
      </c>
      <c r="T43" s="17">
        <v>0</v>
      </c>
      <c r="U43" s="17">
        <v>0</v>
      </c>
      <c r="V43" s="17">
        <v>0</v>
      </c>
      <c r="W43" s="17">
        <v>0</v>
      </c>
    </row>
    <row r="44" spans="1:23" x14ac:dyDescent="0.3">
      <c r="A44" s="68"/>
      <c r="B44" s="68"/>
      <c r="C44" s="57"/>
      <c r="D44" s="58"/>
      <c r="E44" s="59"/>
      <c r="F44" s="60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20">
        <v>1</v>
      </c>
      <c r="T44" s="17"/>
      <c r="U44" s="17"/>
      <c r="V44" s="17"/>
      <c r="W44" s="17"/>
    </row>
    <row r="45" spans="1:23" x14ac:dyDescent="0.3">
      <c r="A45" s="68"/>
      <c r="B45" s="68"/>
      <c r="C45" s="57" t="s">
        <v>67</v>
      </c>
      <c r="D45" s="58"/>
      <c r="E45" s="59" t="s">
        <v>90</v>
      </c>
      <c r="F45" s="60"/>
      <c r="G45" s="17">
        <v>3</v>
      </c>
      <c r="H45" s="17">
        <v>2</v>
      </c>
      <c r="I45" s="17">
        <v>2</v>
      </c>
      <c r="J45" s="17">
        <v>2</v>
      </c>
      <c r="K45" s="17">
        <v>2</v>
      </c>
      <c r="L45" s="17">
        <v>2</v>
      </c>
      <c r="M45" s="17">
        <v>2</v>
      </c>
      <c r="N45" s="17">
        <v>2</v>
      </c>
      <c r="O45" s="17">
        <v>2</v>
      </c>
      <c r="P45" s="17">
        <v>2</v>
      </c>
      <c r="Q45" s="17">
        <v>2</v>
      </c>
      <c r="R45" s="17">
        <v>2</v>
      </c>
      <c r="S45" s="18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 x14ac:dyDescent="0.3">
      <c r="A46" s="68"/>
      <c r="B46" s="68"/>
      <c r="C46" s="57"/>
      <c r="D46" s="58"/>
      <c r="E46" s="59"/>
      <c r="F46" s="60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20">
        <v>1</v>
      </c>
      <c r="T46" s="17"/>
      <c r="U46" s="17"/>
      <c r="V46" s="17"/>
      <c r="W46" s="17"/>
    </row>
    <row r="47" spans="1:23" x14ac:dyDescent="0.3">
      <c r="A47" s="68"/>
      <c r="B47" s="68"/>
      <c r="C47" s="57" t="s">
        <v>23</v>
      </c>
      <c r="D47" s="58"/>
      <c r="E47" s="59" t="s">
        <v>83</v>
      </c>
      <c r="F47" s="60"/>
      <c r="G47" s="17">
        <v>1</v>
      </c>
      <c r="H47" s="17">
        <v>2</v>
      </c>
      <c r="I47" s="17">
        <v>2</v>
      </c>
      <c r="J47" s="17">
        <v>2</v>
      </c>
      <c r="K47" s="17">
        <v>2</v>
      </c>
      <c r="L47" s="17">
        <v>2</v>
      </c>
      <c r="M47" s="17">
        <v>2</v>
      </c>
      <c r="N47" s="17">
        <v>2</v>
      </c>
      <c r="O47" s="17">
        <v>2</v>
      </c>
      <c r="P47" s="17">
        <v>2</v>
      </c>
      <c r="Q47" s="17">
        <v>2</v>
      </c>
      <c r="R47" s="17">
        <v>2</v>
      </c>
      <c r="S47" s="17">
        <v>1</v>
      </c>
      <c r="T47" s="18">
        <v>0</v>
      </c>
      <c r="U47" s="17">
        <v>0</v>
      </c>
      <c r="V47" s="17">
        <v>0</v>
      </c>
      <c r="W47" s="17">
        <v>0</v>
      </c>
    </row>
    <row r="48" spans="1:23" x14ac:dyDescent="0.3">
      <c r="A48" s="68"/>
      <c r="B48" s="68"/>
      <c r="C48" s="57"/>
      <c r="D48" s="58"/>
      <c r="E48" s="59"/>
      <c r="F48" s="60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9">
        <v>1</v>
      </c>
      <c r="U48" s="17"/>
      <c r="V48" s="17"/>
      <c r="W48" s="17"/>
    </row>
    <row r="49" spans="1:23" x14ac:dyDescent="0.3">
      <c r="A49" s="68"/>
      <c r="B49" s="68"/>
      <c r="C49" s="57" t="s">
        <v>24</v>
      </c>
      <c r="D49" s="58"/>
      <c r="E49" s="59" t="s">
        <v>90</v>
      </c>
      <c r="F49" s="60"/>
      <c r="G49" s="17">
        <v>3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>
        <v>2</v>
      </c>
      <c r="N49" s="17">
        <v>2</v>
      </c>
      <c r="O49" s="17">
        <v>2</v>
      </c>
      <c r="P49" s="17">
        <v>2</v>
      </c>
      <c r="Q49" s="17">
        <v>2</v>
      </c>
      <c r="R49" s="17">
        <v>2</v>
      </c>
      <c r="S49" s="17">
        <v>2</v>
      </c>
      <c r="T49" s="18">
        <v>0</v>
      </c>
      <c r="U49" s="17">
        <v>0</v>
      </c>
      <c r="V49" s="17">
        <v>0</v>
      </c>
      <c r="W49" s="17">
        <v>0</v>
      </c>
    </row>
    <row r="50" spans="1:23" x14ac:dyDescent="0.3">
      <c r="A50" s="68"/>
      <c r="B50" s="68"/>
      <c r="C50" s="57"/>
      <c r="D50" s="58"/>
      <c r="E50" s="59"/>
      <c r="F50" s="60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0">
        <v>1</v>
      </c>
      <c r="U50" s="17"/>
      <c r="V50" s="17"/>
      <c r="W50" s="17"/>
    </row>
    <row r="51" spans="1:23" x14ac:dyDescent="0.3">
      <c r="A51" s="68"/>
      <c r="B51" s="68"/>
      <c r="C51" s="57" t="s">
        <v>25</v>
      </c>
      <c r="D51" s="58"/>
      <c r="E51" s="59" t="s">
        <v>88</v>
      </c>
      <c r="F51" s="60"/>
      <c r="G51" s="17">
        <v>2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7">
        <v>2</v>
      </c>
      <c r="S51" s="17">
        <v>2</v>
      </c>
      <c r="T51" s="17">
        <v>2</v>
      </c>
      <c r="U51" s="18">
        <v>0</v>
      </c>
      <c r="V51" s="17">
        <v>0</v>
      </c>
      <c r="W51" s="17">
        <v>0</v>
      </c>
    </row>
    <row r="52" spans="1:23" x14ac:dyDescent="0.3">
      <c r="A52" s="68"/>
      <c r="B52" s="68"/>
      <c r="C52" s="57" t="s">
        <v>26</v>
      </c>
      <c r="D52" s="58"/>
      <c r="E52" s="59" t="s">
        <v>90</v>
      </c>
      <c r="F52" s="60"/>
      <c r="G52" s="17">
        <v>2</v>
      </c>
      <c r="H52" s="17">
        <v>2</v>
      </c>
      <c r="I52" s="17">
        <v>2</v>
      </c>
      <c r="J52" s="17">
        <v>2</v>
      </c>
      <c r="K52" s="17">
        <v>2</v>
      </c>
      <c r="L52" s="17">
        <v>2</v>
      </c>
      <c r="M52" s="17">
        <v>2</v>
      </c>
      <c r="N52" s="17">
        <v>2</v>
      </c>
      <c r="O52" s="17">
        <v>2</v>
      </c>
      <c r="P52" s="17">
        <v>2</v>
      </c>
      <c r="Q52" s="17">
        <v>2</v>
      </c>
      <c r="R52" s="17">
        <v>2</v>
      </c>
      <c r="S52" s="17">
        <v>2</v>
      </c>
      <c r="T52" s="17">
        <v>2</v>
      </c>
      <c r="U52" s="18">
        <v>0</v>
      </c>
      <c r="V52" s="17">
        <v>0</v>
      </c>
      <c r="W52" s="17">
        <v>0</v>
      </c>
    </row>
    <row r="53" spans="1:23" x14ac:dyDescent="0.3">
      <c r="A53" s="68"/>
      <c r="B53" s="68"/>
      <c r="C53" s="57" t="s">
        <v>96</v>
      </c>
      <c r="D53" s="58"/>
      <c r="E53" s="59" t="s">
        <v>89</v>
      </c>
      <c r="F53" s="60"/>
      <c r="G53" s="17">
        <v>4</v>
      </c>
      <c r="H53" s="17">
        <v>4</v>
      </c>
      <c r="I53" s="17">
        <v>4</v>
      </c>
      <c r="J53" s="17">
        <v>4</v>
      </c>
      <c r="K53" s="17">
        <v>4</v>
      </c>
      <c r="L53" s="17">
        <v>4</v>
      </c>
      <c r="M53" s="17">
        <v>4</v>
      </c>
      <c r="N53" s="17">
        <v>4</v>
      </c>
      <c r="O53" s="17">
        <v>4</v>
      </c>
      <c r="P53" s="17">
        <v>4</v>
      </c>
      <c r="Q53" s="17">
        <v>4</v>
      </c>
      <c r="R53" s="17">
        <v>4</v>
      </c>
      <c r="S53" s="17">
        <v>4</v>
      </c>
      <c r="T53" s="17">
        <v>4</v>
      </c>
      <c r="U53" s="17">
        <v>2</v>
      </c>
      <c r="V53" s="18">
        <v>0</v>
      </c>
      <c r="W53" s="17">
        <v>0</v>
      </c>
    </row>
    <row r="54" spans="1:23" x14ac:dyDescent="0.3">
      <c r="A54" s="68"/>
      <c r="B54" s="68"/>
      <c r="C54" s="57" t="s">
        <v>97</v>
      </c>
      <c r="D54" s="58"/>
      <c r="E54" s="59" t="s">
        <v>90</v>
      </c>
      <c r="F54" s="60"/>
      <c r="G54" s="17">
        <v>4</v>
      </c>
      <c r="H54" s="17">
        <v>4</v>
      </c>
      <c r="I54" s="17">
        <v>4</v>
      </c>
      <c r="J54" s="17">
        <v>4</v>
      </c>
      <c r="K54" s="17">
        <v>4</v>
      </c>
      <c r="L54" s="17">
        <v>4</v>
      </c>
      <c r="M54" s="17">
        <v>4</v>
      </c>
      <c r="N54" s="17">
        <v>4</v>
      </c>
      <c r="O54" s="17">
        <v>4</v>
      </c>
      <c r="P54" s="17">
        <v>4</v>
      </c>
      <c r="Q54" s="17">
        <v>4</v>
      </c>
      <c r="R54" s="17">
        <v>4</v>
      </c>
      <c r="S54" s="17">
        <v>4</v>
      </c>
      <c r="T54" s="17">
        <v>4</v>
      </c>
      <c r="U54" s="17">
        <v>2</v>
      </c>
      <c r="V54" s="18">
        <v>0</v>
      </c>
      <c r="W54" s="17">
        <v>0</v>
      </c>
    </row>
    <row r="55" spans="1:23" x14ac:dyDescent="0.3">
      <c r="A55" s="68"/>
      <c r="B55" s="68"/>
      <c r="C55" s="57" t="s">
        <v>98</v>
      </c>
      <c r="D55" s="58"/>
      <c r="E55" s="59" t="s">
        <v>85</v>
      </c>
      <c r="F55" s="60"/>
      <c r="G55" s="17">
        <v>4</v>
      </c>
      <c r="H55" s="17">
        <v>4</v>
      </c>
      <c r="I55" s="17">
        <v>4</v>
      </c>
      <c r="J55" s="17">
        <v>4</v>
      </c>
      <c r="K55" s="17">
        <v>4</v>
      </c>
      <c r="L55" s="17">
        <v>4</v>
      </c>
      <c r="M55" s="17">
        <v>4</v>
      </c>
      <c r="N55" s="17">
        <v>4</v>
      </c>
      <c r="O55" s="17">
        <v>4</v>
      </c>
      <c r="P55" s="17">
        <v>4</v>
      </c>
      <c r="Q55" s="17">
        <v>4</v>
      </c>
      <c r="R55" s="17">
        <v>4</v>
      </c>
      <c r="S55" s="17">
        <v>4</v>
      </c>
      <c r="T55" s="17">
        <v>4</v>
      </c>
      <c r="U55" s="17">
        <v>4</v>
      </c>
      <c r="V55" s="17">
        <v>2</v>
      </c>
      <c r="W55" s="18">
        <v>0</v>
      </c>
    </row>
    <row r="56" spans="1:23" x14ac:dyDescent="0.3">
      <c r="A56" s="68"/>
      <c r="B56" s="68"/>
      <c r="C56" s="57" t="s">
        <v>99</v>
      </c>
      <c r="D56" s="58"/>
      <c r="E56" s="59" t="s">
        <v>90</v>
      </c>
      <c r="F56" s="60"/>
      <c r="G56" s="17">
        <v>4</v>
      </c>
      <c r="H56" s="17">
        <v>4</v>
      </c>
      <c r="I56" s="17">
        <v>4</v>
      </c>
      <c r="J56" s="17">
        <v>4</v>
      </c>
      <c r="K56" s="17">
        <v>4</v>
      </c>
      <c r="L56" s="17">
        <v>4</v>
      </c>
      <c r="M56" s="17">
        <v>4</v>
      </c>
      <c r="N56" s="17">
        <v>4</v>
      </c>
      <c r="O56" s="17">
        <v>4</v>
      </c>
      <c r="P56" s="17">
        <v>4</v>
      </c>
      <c r="Q56" s="17">
        <v>4</v>
      </c>
      <c r="R56" s="17">
        <v>4</v>
      </c>
      <c r="S56" s="17">
        <v>4</v>
      </c>
      <c r="T56" s="17">
        <v>4</v>
      </c>
      <c r="U56" s="17">
        <v>4</v>
      </c>
      <c r="V56" s="17">
        <v>2</v>
      </c>
      <c r="W56" s="18">
        <v>0</v>
      </c>
    </row>
    <row r="57" spans="1:23" x14ac:dyDescent="0.3">
      <c r="A57" s="68"/>
      <c r="B57" s="68"/>
      <c r="C57" s="57" t="s">
        <v>100</v>
      </c>
      <c r="D57" s="58"/>
      <c r="E57" s="59" t="s">
        <v>85</v>
      </c>
      <c r="F57" s="60"/>
      <c r="G57" s="17">
        <v>4</v>
      </c>
      <c r="H57" s="17">
        <v>4</v>
      </c>
      <c r="I57" s="17">
        <v>4</v>
      </c>
      <c r="J57" s="17">
        <v>4</v>
      </c>
      <c r="K57" s="17">
        <v>4</v>
      </c>
      <c r="L57" s="17">
        <v>4</v>
      </c>
      <c r="M57" s="17">
        <v>4</v>
      </c>
      <c r="N57" s="17">
        <v>4</v>
      </c>
      <c r="O57" s="17">
        <v>4</v>
      </c>
      <c r="P57" s="17">
        <v>4</v>
      </c>
      <c r="Q57" s="17">
        <v>4</v>
      </c>
      <c r="R57" s="17">
        <v>4</v>
      </c>
      <c r="S57" s="17">
        <v>4</v>
      </c>
      <c r="T57" s="17">
        <v>4</v>
      </c>
      <c r="U57" s="17">
        <v>4</v>
      </c>
      <c r="V57" s="17">
        <v>4</v>
      </c>
      <c r="W57" s="17">
        <v>2</v>
      </c>
    </row>
    <row r="58" spans="1:23" x14ac:dyDescent="0.3">
      <c r="A58" s="68"/>
      <c r="B58" s="68"/>
      <c r="C58" s="57" t="s">
        <v>101</v>
      </c>
      <c r="D58" s="58"/>
      <c r="E58" s="59" t="s">
        <v>90</v>
      </c>
      <c r="F58" s="60"/>
      <c r="G58" s="17">
        <v>4</v>
      </c>
      <c r="H58" s="17">
        <v>4</v>
      </c>
      <c r="I58" s="17">
        <v>4</v>
      </c>
      <c r="J58" s="17">
        <v>4</v>
      </c>
      <c r="K58" s="17">
        <v>4</v>
      </c>
      <c r="L58" s="17">
        <v>4</v>
      </c>
      <c r="M58" s="17">
        <v>4</v>
      </c>
      <c r="N58" s="17">
        <v>4</v>
      </c>
      <c r="O58" s="17">
        <v>4</v>
      </c>
      <c r="P58" s="17">
        <v>4</v>
      </c>
      <c r="Q58" s="17">
        <v>4</v>
      </c>
      <c r="R58" s="17">
        <v>4</v>
      </c>
      <c r="S58" s="17">
        <v>4</v>
      </c>
      <c r="T58" s="17">
        <v>4</v>
      </c>
      <c r="U58" s="17">
        <v>4</v>
      </c>
      <c r="V58" s="17">
        <v>4</v>
      </c>
      <c r="W58" s="17">
        <v>2</v>
      </c>
    </row>
    <row r="59" spans="1:23" x14ac:dyDescent="0.3">
      <c r="A59" s="68"/>
      <c r="B59" s="68"/>
      <c r="C59" s="57" t="s">
        <v>68</v>
      </c>
      <c r="D59" s="58"/>
      <c r="E59" s="59" t="s">
        <v>83</v>
      </c>
      <c r="F59" s="60"/>
      <c r="G59" s="17">
        <v>2</v>
      </c>
      <c r="H59" s="17">
        <v>2</v>
      </c>
      <c r="I59" s="17">
        <v>2</v>
      </c>
      <c r="J59" s="17">
        <v>2</v>
      </c>
      <c r="K59" s="17">
        <v>2</v>
      </c>
      <c r="L59" s="17">
        <v>2</v>
      </c>
      <c r="M59" s="17">
        <v>2</v>
      </c>
      <c r="N59" s="17">
        <v>2</v>
      </c>
      <c r="O59" s="17">
        <v>2</v>
      </c>
      <c r="P59" s="17">
        <v>2</v>
      </c>
      <c r="Q59" s="17">
        <v>2</v>
      </c>
      <c r="R59" s="17">
        <v>2</v>
      </c>
      <c r="S59" s="17">
        <v>2</v>
      </c>
      <c r="T59" s="17">
        <v>2</v>
      </c>
      <c r="U59" s="17">
        <v>2</v>
      </c>
      <c r="V59" s="17">
        <v>2</v>
      </c>
      <c r="W59" s="17">
        <v>2</v>
      </c>
    </row>
    <row r="60" spans="1:23" x14ac:dyDescent="0.3">
      <c r="A60" s="68"/>
      <c r="B60" s="68"/>
      <c r="C60" s="57" t="s">
        <v>69</v>
      </c>
      <c r="D60" s="58"/>
      <c r="E60" s="59" t="s">
        <v>90</v>
      </c>
      <c r="F60" s="60"/>
      <c r="G60" s="17">
        <v>2</v>
      </c>
      <c r="H60" s="17">
        <v>2</v>
      </c>
      <c r="I60" s="17">
        <v>2</v>
      </c>
      <c r="J60" s="17">
        <v>2</v>
      </c>
      <c r="K60" s="17">
        <v>2</v>
      </c>
      <c r="L60" s="17">
        <v>2</v>
      </c>
      <c r="M60" s="17">
        <v>2</v>
      </c>
      <c r="N60" s="17">
        <v>2</v>
      </c>
      <c r="O60" s="17">
        <v>2</v>
      </c>
      <c r="P60" s="17">
        <v>2</v>
      </c>
      <c r="Q60" s="17">
        <v>2</v>
      </c>
      <c r="R60" s="17">
        <v>2</v>
      </c>
      <c r="S60" s="17">
        <v>2</v>
      </c>
      <c r="T60" s="17">
        <v>2</v>
      </c>
      <c r="U60" s="17">
        <v>2</v>
      </c>
      <c r="V60" s="17">
        <v>2</v>
      </c>
      <c r="W60" s="17">
        <v>2</v>
      </c>
    </row>
    <row r="61" spans="1:23" x14ac:dyDescent="0.3">
      <c r="A61" s="68"/>
      <c r="B61" s="68"/>
      <c r="C61" s="57" t="s">
        <v>27</v>
      </c>
      <c r="D61" s="58"/>
      <c r="E61" s="61" t="s">
        <v>48</v>
      </c>
      <c r="F61" s="62"/>
      <c r="G61" s="17">
        <v>8</v>
      </c>
      <c r="H61" s="17">
        <v>10</v>
      </c>
      <c r="I61" s="17">
        <v>10</v>
      </c>
      <c r="J61" s="17">
        <v>10</v>
      </c>
      <c r="K61" s="17">
        <v>10</v>
      </c>
      <c r="L61" s="17">
        <v>10</v>
      </c>
      <c r="M61" s="17">
        <v>10</v>
      </c>
      <c r="N61" s="17">
        <v>10</v>
      </c>
      <c r="O61" s="17">
        <v>10</v>
      </c>
      <c r="P61" s="17">
        <v>10</v>
      </c>
      <c r="Q61" s="17">
        <v>10</v>
      </c>
      <c r="R61" s="17">
        <v>10</v>
      </c>
      <c r="S61" s="17">
        <v>10</v>
      </c>
      <c r="T61" s="17">
        <v>10</v>
      </c>
      <c r="U61" s="17">
        <v>10</v>
      </c>
      <c r="V61" s="17">
        <v>10</v>
      </c>
      <c r="W61" s="17">
        <v>10</v>
      </c>
    </row>
    <row r="62" spans="1:23" x14ac:dyDescent="0.3">
      <c r="A62" s="68"/>
      <c r="B62" s="69"/>
      <c r="C62" s="59"/>
      <c r="D62" s="60"/>
      <c r="E62" s="59"/>
      <c r="F62" s="60"/>
      <c r="G62" s="17"/>
      <c r="H62" s="17"/>
      <c r="I62" s="17"/>
      <c r="J62" s="17"/>
      <c r="K62" s="17"/>
      <c r="L62" s="17"/>
      <c r="M62" s="20">
        <v>2</v>
      </c>
      <c r="N62" s="17"/>
      <c r="O62" s="17"/>
      <c r="P62" s="17"/>
      <c r="Q62" s="17"/>
      <c r="R62" s="17"/>
      <c r="S62" s="17"/>
      <c r="T62" s="17"/>
      <c r="U62" s="17"/>
      <c r="V62" s="17"/>
      <c r="W62" s="20">
        <v>1</v>
      </c>
    </row>
    <row r="63" spans="1:23" x14ac:dyDescent="0.3">
      <c r="A63" s="68"/>
      <c r="B63" s="67" t="s">
        <v>31</v>
      </c>
      <c r="C63" s="57" t="s">
        <v>29</v>
      </c>
      <c r="D63" s="58"/>
      <c r="E63" s="59" t="s">
        <v>108</v>
      </c>
      <c r="F63" s="60"/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</row>
    <row r="64" spans="1:23" x14ac:dyDescent="0.3">
      <c r="A64" s="68"/>
      <c r="B64" s="68"/>
      <c r="C64" s="57" t="s">
        <v>70</v>
      </c>
      <c r="D64" s="58"/>
      <c r="E64" s="59" t="s">
        <v>108</v>
      </c>
      <c r="F64" s="60"/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</row>
    <row r="65" spans="1:23" x14ac:dyDescent="0.3">
      <c r="A65" s="68"/>
      <c r="B65" s="68"/>
      <c r="C65" s="57" t="s">
        <v>71</v>
      </c>
      <c r="D65" s="58"/>
      <c r="E65" s="59" t="s">
        <v>109</v>
      </c>
      <c r="F65" s="60"/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</row>
    <row r="66" spans="1:23" x14ac:dyDescent="0.3">
      <c r="A66" s="68"/>
      <c r="B66" s="68"/>
      <c r="C66" s="57" t="s">
        <v>30</v>
      </c>
      <c r="D66" s="58"/>
      <c r="E66" s="59" t="s">
        <v>109</v>
      </c>
      <c r="F66" s="60"/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</row>
    <row r="67" spans="1:23" x14ac:dyDescent="0.3">
      <c r="A67" s="68"/>
      <c r="B67" s="68"/>
      <c r="C67" s="57" t="s">
        <v>72</v>
      </c>
      <c r="D67" s="58"/>
      <c r="E67" s="59" t="s">
        <v>109</v>
      </c>
      <c r="F67" s="60"/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</row>
    <row r="68" spans="1:23" x14ac:dyDescent="0.3">
      <c r="A68" s="68"/>
      <c r="B68" s="68"/>
      <c r="C68" s="57" t="s">
        <v>107</v>
      </c>
      <c r="D68" s="58"/>
      <c r="E68" s="59" t="s">
        <v>110</v>
      </c>
      <c r="F68" s="60"/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</row>
    <row r="69" spans="1:23" x14ac:dyDescent="0.3">
      <c r="A69" s="68"/>
      <c r="B69" s="68"/>
      <c r="C69" s="57" t="s">
        <v>106</v>
      </c>
      <c r="D69" s="58"/>
      <c r="E69" s="59" t="s">
        <v>111</v>
      </c>
      <c r="F69" s="60"/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</row>
    <row r="70" spans="1:23" x14ac:dyDescent="0.3">
      <c r="A70" s="68"/>
      <c r="B70" s="69"/>
      <c r="C70" s="57" t="s">
        <v>105</v>
      </c>
      <c r="D70" s="58"/>
      <c r="E70" s="59" t="s">
        <v>111</v>
      </c>
      <c r="F70" s="60"/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</row>
    <row r="71" spans="1:23" x14ac:dyDescent="0.3">
      <c r="A71" s="68"/>
      <c r="B71" s="67" t="s">
        <v>34</v>
      </c>
      <c r="C71" s="57" t="s">
        <v>32</v>
      </c>
      <c r="D71" s="58"/>
      <c r="E71" s="59" t="s">
        <v>108</v>
      </c>
      <c r="F71" s="60"/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</row>
    <row r="72" spans="1:23" x14ac:dyDescent="0.3">
      <c r="A72" s="68"/>
      <c r="B72" s="68"/>
      <c r="C72" s="57" t="s">
        <v>73</v>
      </c>
      <c r="D72" s="58"/>
      <c r="E72" s="59" t="s">
        <v>116</v>
      </c>
      <c r="F72" s="60"/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</row>
    <row r="73" spans="1:23" x14ac:dyDescent="0.3">
      <c r="A73" s="68"/>
      <c r="B73" s="68"/>
      <c r="C73" s="57" t="s">
        <v>33</v>
      </c>
      <c r="D73" s="58"/>
      <c r="E73" s="59" t="s">
        <v>108</v>
      </c>
      <c r="F73" s="60"/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</row>
    <row r="74" spans="1:23" x14ac:dyDescent="0.3">
      <c r="A74" s="68"/>
      <c r="B74" s="68"/>
      <c r="C74" s="57" t="s">
        <v>74</v>
      </c>
      <c r="D74" s="58"/>
      <c r="E74" s="59" t="s">
        <v>109</v>
      </c>
      <c r="F74" s="60"/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</row>
    <row r="75" spans="1:23" x14ac:dyDescent="0.3">
      <c r="A75" s="68"/>
      <c r="B75" s="68"/>
      <c r="C75" s="63" t="s">
        <v>112</v>
      </c>
      <c r="D75" s="64"/>
      <c r="E75" s="59" t="s">
        <v>110</v>
      </c>
      <c r="F75" s="60"/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</row>
    <row r="76" spans="1:23" x14ac:dyDescent="0.3">
      <c r="A76" s="68"/>
      <c r="B76" s="68"/>
      <c r="C76" s="63" t="s">
        <v>113</v>
      </c>
      <c r="D76" s="64"/>
      <c r="E76" s="59" t="s">
        <v>111</v>
      </c>
      <c r="F76" s="60"/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</row>
    <row r="77" spans="1:23" x14ac:dyDescent="0.3">
      <c r="A77" s="68"/>
      <c r="B77" s="68"/>
      <c r="C77" s="57" t="s">
        <v>75</v>
      </c>
      <c r="D77" s="58"/>
      <c r="E77" s="59" t="s">
        <v>109</v>
      </c>
      <c r="F77" s="60"/>
      <c r="G77" s="17">
        <v>2</v>
      </c>
      <c r="H77" s="17">
        <v>2</v>
      </c>
      <c r="I77" s="17">
        <v>2</v>
      </c>
      <c r="J77" s="17">
        <v>2</v>
      </c>
      <c r="K77" s="17">
        <v>2</v>
      </c>
      <c r="L77" s="17">
        <v>2</v>
      </c>
      <c r="M77" s="17">
        <v>2</v>
      </c>
      <c r="N77" s="17">
        <v>2</v>
      </c>
      <c r="O77" s="17">
        <v>2</v>
      </c>
      <c r="P77" s="17">
        <v>2</v>
      </c>
      <c r="Q77" s="17">
        <v>2</v>
      </c>
      <c r="R77" s="17">
        <v>2</v>
      </c>
      <c r="S77" s="17">
        <v>2</v>
      </c>
      <c r="T77" s="17">
        <v>2</v>
      </c>
      <c r="U77" s="17">
        <v>2</v>
      </c>
      <c r="V77" s="17">
        <v>2</v>
      </c>
      <c r="W77" s="17">
        <v>0</v>
      </c>
    </row>
    <row r="78" spans="1:23" x14ac:dyDescent="0.3">
      <c r="A78" s="68"/>
      <c r="B78" s="69"/>
      <c r="C78" s="57" t="s">
        <v>114</v>
      </c>
      <c r="D78" s="58"/>
      <c r="E78" s="59" t="s">
        <v>111</v>
      </c>
      <c r="F78" s="60"/>
      <c r="G78" s="17">
        <v>2</v>
      </c>
      <c r="H78" s="17">
        <v>2</v>
      </c>
      <c r="I78" s="17">
        <v>2</v>
      </c>
      <c r="J78" s="17">
        <v>2</v>
      </c>
      <c r="K78" s="17">
        <v>2</v>
      </c>
      <c r="L78" s="17">
        <v>2</v>
      </c>
      <c r="M78" s="17">
        <v>2</v>
      </c>
      <c r="N78" s="17">
        <v>2</v>
      </c>
      <c r="O78" s="17">
        <v>2</v>
      </c>
      <c r="P78" s="17">
        <v>2</v>
      </c>
      <c r="Q78" s="17">
        <v>2</v>
      </c>
      <c r="R78" s="17">
        <v>2</v>
      </c>
      <c r="S78" s="17">
        <v>2</v>
      </c>
      <c r="T78" s="17">
        <v>2</v>
      </c>
      <c r="U78" s="17">
        <v>2</v>
      </c>
      <c r="V78" s="17">
        <v>2</v>
      </c>
      <c r="W78" s="17">
        <v>2</v>
      </c>
    </row>
    <row r="79" spans="1:23" x14ac:dyDescent="0.3">
      <c r="A79" s="68"/>
      <c r="B79" s="67" t="s">
        <v>41</v>
      </c>
      <c r="C79" s="57" t="s">
        <v>42</v>
      </c>
      <c r="D79" s="58"/>
      <c r="E79" s="61" t="s">
        <v>83</v>
      </c>
      <c r="F79" s="62"/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</row>
    <row r="80" spans="1:23" x14ac:dyDescent="0.3">
      <c r="A80" s="68"/>
      <c r="B80" s="68"/>
      <c r="C80" s="57" t="s">
        <v>76</v>
      </c>
      <c r="D80" s="58"/>
      <c r="E80" s="59" t="s">
        <v>88</v>
      </c>
      <c r="F80" s="60"/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</row>
    <row r="81" spans="1:23" x14ac:dyDescent="0.3">
      <c r="A81" s="68"/>
      <c r="B81" s="68"/>
      <c r="C81" s="57" t="s">
        <v>115</v>
      </c>
      <c r="D81" s="58"/>
      <c r="E81" s="61" t="s">
        <v>83</v>
      </c>
      <c r="F81" s="62"/>
      <c r="G81" s="17">
        <v>2</v>
      </c>
      <c r="H81" s="17">
        <v>2</v>
      </c>
      <c r="I81" s="17">
        <v>2</v>
      </c>
      <c r="J81" s="17">
        <v>2</v>
      </c>
      <c r="K81" s="17">
        <v>2</v>
      </c>
      <c r="L81" s="17">
        <v>2</v>
      </c>
      <c r="M81" s="17">
        <v>2</v>
      </c>
      <c r="N81" s="17">
        <v>2</v>
      </c>
      <c r="O81" s="17">
        <v>2</v>
      </c>
      <c r="P81" s="17">
        <v>2</v>
      </c>
      <c r="Q81" s="17">
        <v>2</v>
      </c>
      <c r="R81" s="17">
        <v>2</v>
      </c>
      <c r="S81" s="17">
        <v>2</v>
      </c>
      <c r="T81" s="17">
        <v>2</v>
      </c>
      <c r="U81" s="17">
        <v>2</v>
      </c>
      <c r="V81" s="17">
        <v>2</v>
      </c>
      <c r="W81" s="17">
        <v>2</v>
      </c>
    </row>
    <row r="82" spans="1:23" x14ac:dyDescent="0.3">
      <c r="A82" s="68"/>
      <c r="B82" s="68"/>
      <c r="C82" s="57" t="s">
        <v>77</v>
      </c>
      <c r="D82" s="58"/>
      <c r="E82" s="59" t="s">
        <v>88</v>
      </c>
      <c r="F82" s="60"/>
      <c r="G82" s="17">
        <v>2</v>
      </c>
      <c r="H82" s="17">
        <v>2</v>
      </c>
      <c r="I82" s="17">
        <v>2</v>
      </c>
      <c r="J82" s="17">
        <v>2</v>
      </c>
      <c r="K82" s="17">
        <v>2</v>
      </c>
      <c r="L82" s="17">
        <v>2</v>
      </c>
      <c r="M82" s="17">
        <v>2</v>
      </c>
      <c r="N82" s="17">
        <v>2</v>
      </c>
      <c r="O82" s="17">
        <v>2</v>
      </c>
      <c r="P82" s="17">
        <v>2</v>
      </c>
      <c r="Q82" s="17">
        <v>2</v>
      </c>
      <c r="R82" s="17">
        <v>2</v>
      </c>
      <c r="S82" s="17">
        <v>2</v>
      </c>
      <c r="T82" s="17">
        <v>2</v>
      </c>
      <c r="U82" s="17">
        <v>2</v>
      </c>
      <c r="V82" s="17">
        <v>2</v>
      </c>
      <c r="W82" s="17">
        <v>2</v>
      </c>
    </row>
    <row r="83" spans="1:23" x14ac:dyDescent="0.3">
      <c r="A83" s="68"/>
      <c r="B83" s="68"/>
      <c r="C83" s="57" t="s">
        <v>78</v>
      </c>
      <c r="D83" s="58"/>
      <c r="E83" s="61" t="s">
        <v>88</v>
      </c>
      <c r="F83" s="62"/>
      <c r="G83" s="17">
        <v>2</v>
      </c>
      <c r="H83" s="17">
        <v>2</v>
      </c>
      <c r="I83" s="17">
        <v>2</v>
      </c>
      <c r="J83" s="17">
        <v>2</v>
      </c>
      <c r="K83" s="17">
        <v>2</v>
      </c>
      <c r="L83" s="17">
        <v>2</v>
      </c>
      <c r="M83" s="17">
        <v>2</v>
      </c>
      <c r="N83" s="17">
        <v>2</v>
      </c>
      <c r="O83" s="17">
        <v>2</v>
      </c>
      <c r="P83" s="17">
        <v>2</v>
      </c>
      <c r="Q83" s="17">
        <v>2</v>
      </c>
      <c r="R83" s="17">
        <v>2</v>
      </c>
      <c r="S83" s="17">
        <v>2</v>
      </c>
      <c r="T83" s="17">
        <v>2</v>
      </c>
      <c r="U83" s="17">
        <v>2</v>
      </c>
      <c r="V83" s="17">
        <v>2</v>
      </c>
      <c r="W83" s="17">
        <v>2</v>
      </c>
    </row>
    <row r="84" spans="1:23" x14ac:dyDescent="0.3">
      <c r="A84" s="68"/>
      <c r="B84" s="68"/>
      <c r="C84" s="63" t="s">
        <v>102</v>
      </c>
      <c r="D84" s="64"/>
      <c r="E84" s="61" t="s">
        <v>89</v>
      </c>
      <c r="F84" s="62"/>
      <c r="G84" s="17">
        <v>2</v>
      </c>
      <c r="H84" s="17">
        <v>2</v>
      </c>
      <c r="I84" s="17">
        <v>2</v>
      </c>
      <c r="J84" s="17">
        <v>2</v>
      </c>
      <c r="K84" s="17">
        <v>2</v>
      </c>
      <c r="L84" s="17">
        <v>2</v>
      </c>
      <c r="M84" s="17">
        <v>2</v>
      </c>
      <c r="N84" s="17">
        <v>2</v>
      </c>
      <c r="O84" s="17">
        <v>2</v>
      </c>
      <c r="P84" s="17">
        <v>2</v>
      </c>
      <c r="Q84" s="17">
        <v>2</v>
      </c>
      <c r="R84" s="17">
        <v>2</v>
      </c>
      <c r="S84" s="17">
        <v>2</v>
      </c>
      <c r="T84" s="17">
        <v>2</v>
      </c>
      <c r="U84" s="17">
        <v>2</v>
      </c>
      <c r="V84" s="17">
        <v>2</v>
      </c>
      <c r="W84" s="17">
        <v>2</v>
      </c>
    </row>
    <row r="85" spans="1:23" x14ac:dyDescent="0.3">
      <c r="A85" s="68"/>
      <c r="B85" s="68"/>
      <c r="C85" s="63" t="s">
        <v>103</v>
      </c>
      <c r="D85" s="64"/>
      <c r="E85" s="61" t="s">
        <v>85</v>
      </c>
      <c r="F85" s="62"/>
      <c r="G85" s="17">
        <v>2</v>
      </c>
      <c r="H85" s="17">
        <v>2</v>
      </c>
      <c r="I85" s="17">
        <v>2</v>
      </c>
      <c r="J85" s="17">
        <v>2</v>
      </c>
      <c r="K85" s="17">
        <v>2</v>
      </c>
      <c r="L85" s="17">
        <v>2</v>
      </c>
      <c r="M85" s="17">
        <v>2</v>
      </c>
      <c r="N85" s="17">
        <v>2</v>
      </c>
      <c r="O85" s="17">
        <v>2</v>
      </c>
      <c r="P85" s="17">
        <v>2</v>
      </c>
      <c r="Q85" s="17">
        <v>2</v>
      </c>
      <c r="R85" s="17">
        <v>2</v>
      </c>
      <c r="S85" s="17">
        <v>2</v>
      </c>
      <c r="T85" s="17">
        <v>2</v>
      </c>
      <c r="U85" s="17">
        <v>2</v>
      </c>
      <c r="V85" s="17">
        <v>2</v>
      </c>
      <c r="W85" s="17">
        <v>2</v>
      </c>
    </row>
    <row r="86" spans="1:23" x14ac:dyDescent="0.3">
      <c r="A86" s="68"/>
      <c r="B86" s="69"/>
      <c r="C86" s="57" t="s">
        <v>104</v>
      </c>
      <c r="D86" s="58"/>
      <c r="E86" s="61" t="s">
        <v>85</v>
      </c>
      <c r="F86" s="62"/>
      <c r="G86" s="17">
        <v>2</v>
      </c>
      <c r="H86" s="17">
        <v>2</v>
      </c>
      <c r="I86" s="17">
        <v>2</v>
      </c>
      <c r="J86" s="17">
        <v>2</v>
      </c>
      <c r="K86" s="17">
        <v>2</v>
      </c>
      <c r="L86" s="17">
        <v>2</v>
      </c>
      <c r="M86" s="17">
        <v>2</v>
      </c>
      <c r="N86" s="17">
        <v>2</v>
      </c>
      <c r="O86" s="17">
        <v>2</v>
      </c>
      <c r="P86" s="17">
        <v>2</v>
      </c>
      <c r="Q86" s="17">
        <v>2</v>
      </c>
      <c r="R86" s="17">
        <v>2</v>
      </c>
      <c r="S86" s="17">
        <v>2</v>
      </c>
      <c r="T86" s="17">
        <v>2</v>
      </c>
      <c r="U86" s="17">
        <v>2</v>
      </c>
      <c r="V86" s="17">
        <v>2</v>
      </c>
      <c r="W86" s="17">
        <v>2</v>
      </c>
    </row>
    <row r="87" spans="1:23" x14ac:dyDescent="0.3">
      <c r="A87" s="68"/>
      <c r="B87" s="67" t="s">
        <v>37</v>
      </c>
      <c r="C87" s="57" t="s">
        <v>35</v>
      </c>
      <c r="D87" s="58"/>
      <c r="E87" s="61" t="s">
        <v>48</v>
      </c>
      <c r="F87" s="62"/>
      <c r="G87" s="17">
        <v>5</v>
      </c>
      <c r="H87" s="17">
        <v>5</v>
      </c>
      <c r="I87" s="17">
        <v>5</v>
      </c>
      <c r="J87" s="17">
        <v>5</v>
      </c>
      <c r="K87" s="17">
        <v>5</v>
      </c>
      <c r="L87" s="17">
        <v>5</v>
      </c>
      <c r="M87" s="17">
        <v>5</v>
      </c>
      <c r="N87" s="17">
        <v>5</v>
      </c>
      <c r="O87" s="17">
        <v>5</v>
      </c>
      <c r="P87" s="17">
        <v>5</v>
      </c>
      <c r="Q87" s="17">
        <v>5</v>
      </c>
      <c r="R87" s="17">
        <v>5</v>
      </c>
      <c r="S87" s="17">
        <v>5</v>
      </c>
      <c r="T87" s="17">
        <v>5</v>
      </c>
      <c r="U87" s="17">
        <v>5</v>
      </c>
      <c r="V87" s="17">
        <v>5</v>
      </c>
      <c r="W87" s="17">
        <v>5</v>
      </c>
    </row>
    <row r="88" spans="1:23" x14ac:dyDescent="0.3">
      <c r="A88" s="68"/>
      <c r="B88" s="69"/>
      <c r="C88" s="57" t="s">
        <v>36</v>
      </c>
      <c r="D88" s="58"/>
      <c r="E88" s="61" t="s">
        <v>48</v>
      </c>
      <c r="F88" s="62"/>
      <c r="G88" s="17">
        <v>5</v>
      </c>
      <c r="H88" s="17">
        <v>5</v>
      </c>
      <c r="I88" s="17">
        <v>5</v>
      </c>
      <c r="J88" s="17">
        <v>5</v>
      </c>
      <c r="K88" s="17">
        <v>5</v>
      </c>
      <c r="L88" s="17">
        <v>5</v>
      </c>
      <c r="M88" s="17">
        <v>5</v>
      </c>
      <c r="N88" s="17">
        <v>5</v>
      </c>
      <c r="O88" s="17">
        <v>5</v>
      </c>
      <c r="P88" s="17">
        <v>5</v>
      </c>
      <c r="Q88" s="17">
        <v>5</v>
      </c>
      <c r="R88" s="17">
        <v>5</v>
      </c>
      <c r="S88" s="17">
        <v>5</v>
      </c>
      <c r="T88" s="17">
        <v>5</v>
      </c>
      <c r="U88" s="17">
        <v>5</v>
      </c>
      <c r="V88" s="17">
        <v>5</v>
      </c>
      <c r="W88" s="17">
        <v>5</v>
      </c>
    </row>
    <row r="89" spans="1:23" x14ac:dyDescent="0.3">
      <c r="A89" s="68"/>
      <c r="B89" s="75" t="s">
        <v>12</v>
      </c>
      <c r="C89" s="76"/>
      <c r="D89" s="77"/>
      <c r="E89" s="65" t="s">
        <v>11</v>
      </c>
      <c r="F89" s="66"/>
      <c r="G89" s="65">
        <f>SUM(G16:G88)</f>
        <v>152</v>
      </c>
      <c r="H89" s="66"/>
      <c r="I89" s="17">
        <f t="shared" ref="I89:P89" si="0">SUM(I16:I88)</f>
        <v>142</v>
      </c>
      <c r="J89" s="17">
        <f t="shared" si="0"/>
        <v>140</v>
      </c>
      <c r="K89" s="17">
        <f t="shared" si="0"/>
        <v>134</v>
      </c>
      <c r="L89" s="17">
        <f t="shared" si="0"/>
        <v>131</v>
      </c>
      <c r="M89" s="17">
        <f>SUM(M16:M88)</f>
        <v>130</v>
      </c>
      <c r="N89" s="17">
        <f t="shared" si="0"/>
        <v>126</v>
      </c>
      <c r="O89" s="17">
        <f t="shared" si="0"/>
        <v>122</v>
      </c>
      <c r="P89" s="17">
        <f t="shared" si="0"/>
        <v>110</v>
      </c>
      <c r="Q89" s="17">
        <f>SUM(Q16:Q88)+Q40</f>
        <v>105</v>
      </c>
      <c r="R89" s="17">
        <f>SUM(R16:R88)</f>
        <v>90</v>
      </c>
      <c r="S89" s="17">
        <f>SUM(S16:S88)</f>
        <v>89</v>
      </c>
      <c r="T89" s="17">
        <f>SUM(T16:T88)-T48</f>
        <v>85</v>
      </c>
      <c r="U89" s="17">
        <f>SUM(U16:U88)</f>
        <v>76</v>
      </c>
      <c r="V89" s="17">
        <f>SUM(V16:V88)</f>
        <v>68</v>
      </c>
      <c r="W89" s="17">
        <f>SUM(W16:W88)</f>
        <v>59</v>
      </c>
    </row>
    <row r="90" spans="1:23" x14ac:dyDescent="0.3">
      <c r="A90" s="69"/>
      <c r="B90" s="78"/>
      <c r="C90" s="79"/>
      <c r="D90" s="80"/>
      <c r="E90" s="65" t="s">
        <v>49</v>
      </c>
      <c r="F90" s="66"/>
      <c r="G90" s="65">
        <f>SUM(H16:H88)</f>
        <v>152</v>
      </c>
      <c r="H90" s="66"/>
      <c r="I90" s="17">
        <f>SUM(I16:I88)</f>
        <v>142</v>
      </c>
      <c r="J90" s="17">
        <f>SUM(J16:J88)-J29</f>
        <v>138</v>
      </c>
      <c r="K90" s="17">
        <f>SUM(K16:K88)</f>
        <v>134</v>
      </c>
      <c r="L90" s="17">
        <f>SUM(L16:L88)-L22</f>
        <v>130</v>
      </c>
      <c r="M90" s="17">
        <f>SUM(N16:N88)-N29</f>
        <v>126</v>
      </c>
      <c r="N90" s="17">
        <f>SUM(O16:O88)</f>
        <v>122</v>
      </c>
      <c r="O90" s="17">
        <f>SUM(P16:P88)+Q40-P38</f>
        <v>110</v>
      </c>
      <c r="P90" s="17">
        <f>SUM(Q16:Q88)</f>
        <v>105</v>
      </c>
      <c r="Q90" s="17">
        <f>SUM(R16:R88)</f>
        <v>90</v>
      </c>
      <c r="R90" s="17">
        <f>SUM(S16:S88)+T48-S46-S44</f>
        <v>88</v>
      </c>
      <c r="S90" s="17">
        <f>SUM(T16:T88)-T50-T48</f>
        <v>84</v>
      </c>
      <c r="T90" s="17">
        <f>SUM(U16:U88)</f>
        <v>76</v>
      </c>
      <c r="U90" s="17">
        <f>SUM(V16:V88)</f>
        <v>68</v>
      </c>
      <c r="V90" s="17">
        <f>SUM(V17:V88)</f>
        <v>68</v>
      </c>
      <c r="W90" s="17">
        <f>SUM(W17:W88)-W68</f>
        <v>58</v>
      </c>
    </row>
  </sheetData>
  <mergeCells count="167">
    <mergeCell ref="B79:B86"/>
    <mergeCell ref="B87:B88"/>
    <mergeCell ref="C64:D64"/>
    <mergeCell ref="C65:D65"/>
    <mergeCell ref="C66:D66"/>
    <mergeCell ref="C77:D77"/>
    <mergeCell ref="C74:D74"/>
    <mergeCell ref="C73:D73"/>
    <mergeCell ref="C67:D67"/>
    <mergeCell ref="C70:D70"/>
    <mergeCell ref="C71:D71"/>
    <mergeCell ref="C72:D72"/>
    <mergeCell ref="C88:D88"/>
    <mergeCell ref="C86:D86"/>
    <mergeCell ref="C84:D84"/>
    <mergeCell ref="C85:D85"/>
    <mergeCell ref="B63:B70"/>
    <mergeCell ref="C68:D68"/>
    <mergeCell ref="A16:A90"/>
    <mergeCell ref="E86:F86"/>
    <mergeCell ref="E87:F87"/>
    <mergeCell ref="E88:F88"/>
    <mergeCell ref="E89:F89"/>
    <mergeCell ref="E90:F90"/>
    <mergeCell ref="E79:F79"/>
    <mergeCell ref="E80:F80"/>
    <mergeCell ref="E81:F81"/>
    <mergeCell ref="E82:F82"/>
    <mergeCell ref="E83:F83"/>
    <mergeCell ref="E72:F72"/>
    <mergeCell ref="E73:F73"/>
    <mergeCell ref="E74:F74"/>
    <mergeCell ref="E41:F41"/>
    <mergeCell ref="E42:F42"/>
    <mergeCell ref="E43:F43"/>
    <mergeCell ref="E44:F44"/>
    <mergeCell ref="E45:F45"/>
    <mergeCell ref="E63:F63"/>
    <mergeCell ref="E62:F62"/>
    <mergeCell ref="E61:F61"/>
    <mergeCell ref="B89:D90"/>
    <mergeCell ref="E77:F77"/>
    <mergeCell ref="E47:F47"/>
    <mergeCell ref="E16:F16"/>
    <mergeCell ref="E17:F17"/>
    <mergeCell ref="E18:F18"/>
    <mergeCell ref="E19:F19"/>
    <mergeCell ref="E20:F20"/>
    <mergeCell ref="E21:F21"/>
    <mergeCell ref="E23:F23"/>
    <mergeCell ref="E24:F24"/>
    <mergeCell ref="E39:F39"/>
    <mergeCell ref="E27:F27"/>
    <mergeCell ref="E26:F26"/>
    <mergeCell ref="E36:F36"/>
    <mergeCell ref="E37:F37"/>
    <mergeCell ref="E25:F25"/>
    <mergeCell ref="E28:F28"/>
    <mergeCell ref="E29:F29"/>
    <mergeCell ref="E30:F30"/>
    <mergeCell ref="E40:F40"/>
    <mergeCell ref="E54:F54"/>
    <mergeCell ref="C58:D58"/>
    <mergeCell ref="E51:F51"/>
    <mergeCell ref="E48:F48"/>
    <mergeCell ref="E52:F52"/>
    <mergeCell ref="E55:F55"/>
    <mergeCell ref="E56:F56"/>
    <mergeCell ref="E57:F57"/>
    <mergeCell ref="C48:D48"/>
    <mergeCell ref="E58:F58"/>
    <mergeCell ref="B19:B29"/>
    <mergeCell ref="E31:F31"/>
    <mergeCell ref="E46:F46"/>
    <mergeCell ref="E33:F33"/>
    <mergeCell ref="E34:F34"/>
    <mergeCell ref="E35:F35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E38:F38"/>
    <mergeCell ref="C27:D27"/>
    <mergeCell ref="C26:D26"/>
    <mergeCell ref="C36:D36"/>
    <mergeCell ref="C37:D37"/>
    <mergeCell ref="B30:B40"/>
    <mergeCell ref="C22:D22"/>
    <mergeCell ref="E22:F22"/>
    <mergeCell ref="A1:B1"/>
    <mergeCell ref="A2:B2"/>
    <mergeCell ref="A3:B3"/>
    <mergeCell ref="A4:B4"/>
    <mergeCell ref="C19:D19"/>
    <mergeCell ref="G89:H89"/>
    <mergeCell ref="B71:B78"/>
    <mergeCell ref="B6:E6"/>
    <mergeCell ref="B13:C13"/>
    <mergeCell ref="C15:D15"/>
    <mergeCell ref="E15:F15"/>
    <mergeCell ref="B16:D16"/>
    <mergeCell ref="B17:D17"/>
    <mergeCell ref="C20:D20"/>
    <mergeCell ref="C21:D21"/>
    <mergeCell ref="C23:D23"/>
    <mergeCell ref="C24:D24"/>
    <mergeCell ref="C25:D25"/>
    <mergeCell ref="C28:D28"/>
    <mergeCell ref="C29:D29"/>
    <mergeCell ref="C30:D30"/>
    <mergeCell ref="E32:F32"/>
    <mergeCell ref="E64:F64"/>
    <mergeCell ref="B18:D18"/>
    <mergeCell ref="G90:H90"/>
    <mergeCell ref="B41:B62"/>
    <mergeCell ref="C87:D87"/>
    <mergeCell ref="C83:D83"/>
    <mergeCell ref="C82:D82"/>
    <mergeCell ref="C81:D81"/>
    <mergeCell ref="C80:D80"/>
    <mergeCell ref="C79:D79"/>
    <mergeCell ref="C78:D78"/>
    <mergeCell ref="C49:D49"/>
    <mergeCell ref="C50:D50"/>
    <mergeCell ref="C51:D51"/>
    <mergeCell ref="C43:D43"/>
    <mergeCell ref="C45:D45"/>
    <mergeCell ref="C44:D44"/>
    <mergeCell ref="C46:D46"/>
    <mergeCell ref="C61:D61"/>
    <mergeCell ref="C63:D63"/>
    <mergeCell ref="C52:D52"/>
    <mergeCell ref="C55:D55"/>
    <mergeCell ref="C62:D62"/>
    <mergeCell ref="E49:F49"/>
    <mergeCell ref="E50:F50"/>
    <mergeCell ref="E84:F84"/>
    <mergeCell ref="C47:D47"/>
    <mergeCell ref="C56:D56"/>
    <mergeCell ref="C57:D57"/>
    <mergeCell ref="C59:D59"/>
    <mergeCell ref="C60:D60"/>
    <mergeCell ref="E59:F59"/>
    <mergeCell ref="E60:F60"/>
    <mergeCell ref="E85:F85"/>
    <mergeCell ref="E78:F78"/>
    <mergeCell ref="E70:F70"/>
    <mergeCell ref="E71:F71"/>
    <mergeCell ref="E65:F65"/>
    <mergeCell ref="E66:F66"/>
    <mergeCell ref="E67:F67"/>
    <mergeCell ref="C69:D69"/>
    <mergeCell ref="E69:F69"/>
    <mergeCell ref="E68:F68"/>
    <mergeCell ref="C75:D75"/>
    <mergeCell ref="C76:D76"/>
    <mergeCell ref="E75:F75"/>
    <mergeCell ref="E76:F76"/>
    <mergeCell ref="C53:D53"/>
    <mergeCell ref="C54:D54"/>
    <mergeCell ref="E53:F5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D031-8337-4EDE-B5F5-7B75B3AA90BC}">
  <dimension ref="A1:BG120"/>
  <sheetViews>
    <sheetView zoomScale="70" zoomScaleNormal="70" workbookViewId="0">
      <selection activeCell="C1" sqref="C1"/>
    </sheetView>
  </sheetViews>
  <sheetFormatPr defaultColWidth="9" defaultRowHeight="14.4" x14ac:dyDescent="0.3"/>
  <cols>
    <col min="1" max="1" width="13.5546875" customWidth="1"/>
    <col min="2" max="2" width="21.109375" customWidth="1"/>
    <col min="3" max="3" width="79.6640625" customWidth="1"/>
    <col min="4" max="4" width="12" customWidth="1"/>
    <col min="5" max="5" width="8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  <col min="29" max="29" width="6.109375" customWidth="1"/>
  </cols>
  <sheetData>
    <row r="1" spans="1:59" ht="17.399999999999999" thickBot="1" x14ac:dyDescent="0.35">
      <c r="A1" s="81" t="s">
        <v>3</v>
      </c>
      <c r="B1" s="81"/>
      <c r="C1" s="34" t="s">
        <v>128</v>
      </c>
      <c r="D1" s="35"/>
      <c r="E1" s="36"/>
      <c r="F1" s="37" t="s">
        <v>57</v>
      </c>
    </row>
    <row r="2" spans="1:59" ht="17.399999999999999" thickBot="1" x14ac:dyDescent="0.35">
      <c r="A2" s="81" t="s">
        <v>2</v>
      </c>
      <c r="B2" s="81"/>
      <c r="C2" s="38" t="s">
        <v>38</v>
      </c>
      <c r="D2" s="35"/>
      <c r="E2" s="39"/>
      <c r="F2" s="40" t="s">
        <v>56</v>
      </c>
    </row>
    <row r="3" spans="1:59" ht="17.399999999999999" thickBot="1" x14ac:dyDescent="0.35">
      <c r="A3" s="81" t="s">
        <v>1</v>
      </c>
      <c r="B3" s="81"/>
      <c r="C3" s="41">
        <v>45989</v>
      </c>
      <c r="D3" s="35"/>
      <c r="E3" s="42"/>
      <c r="F3" s="40" t="s">
        <v>55</v>
      </c>
    </row>
    <row r="4" spans="1:59" ht="18" customHeight="1" thickBot="1" x14ac:dyDescent="0.35">
      <c r="A4" s="81" t="s">
        <v>0</v>
      </c>
      <c r="B4" s="81"/>
      <c r="C4" s="41">
        <v>46009</v>
      </c>
      <c r="D4" s="35"/>
      <c r="E4" s="43"/>
      <c r="F4" s="40" t="s">
        <v>54</v>
      </c>
    </row>
    <row r="5" spans="1:59" ht="18" customHeight="1" thickBot="1" x14ac:dyDescent="0.35">
      <c r="A5" s="35"/>
      <c r="B5" s="35"/>
      <c r="C5" s="35"/>
      <c r="D5" s="35"/>
      <c r="E5" s="44"/>
      <c r="F5" s="45" t="s">
        <v>53</v>
      </c>
    </row>
    <row r="6" spans="1:59" ht="17.399999999999999" thickBot="1" x14ac:dyDescent="0.35">
      <c r="A6" s="35"/>
      <c r="B6" s="82" t="s">
        <v>39</v>
      </c>
      <c r="C6" s="82"/>
      <c r="D6" s="82"/>
      <c r="E6" s="83"/>
    </row>
    <row r="7" spans="1:59" ht="17.399999999999999" thickBot="1" x14ac:dyDescent="0.35">
      <c r="A7" s="35"/>
      <c r="B7" s="46" t="s">
        <v>6</v>
      </c>
      <c r="C7" s="46" t="s">
        <v>50</v>
      </c>
      <c r="D7" s="46" t="s">
        <v>11</v>
      </c>
      <c r="E7" s="46" t="s">
        <v>49</v>
      </c>
    </row>
    <row r="8" spans="1:59" ht="17.399999999999999" thickBot="1" x14ac:dyDescent="0.35">
      <c r="A8" s="35"/>
      <c r="B8" s="47">
        <v>1</v>
      </c>
      <c r="C8" s="38" t="s">
        <v>129</v>
      </c>
      <c r="D8" s="38">
        <f ca="1">SUMIF($E$16:$F$97,"Thành",$G$16:$G$97)+SUMIF($E$16:$F$97,"All team",$G$16:$G$97)/5+SUMIF($E$16:$F$97,"Thành,Phương",$G$16:$G$97)/2</f>
        <v>8.6</v>
      </c>
      <c r="E8" s="38">
        <f ca="1">SUMIF($E$16:$F$97,"Thành",$H$16:$H$97)+SUMIF($E$16:$F$97,"All team",$H$16:$H$97)/5+SUMIF($E$16:$F$97,"Mạnh,Hoàng",$H$16:$H$97)/2</f>
        <v>9.4</v>
      </c>
    </row>
    <row r="9" spans="1:59" ht="17.399999999999999" thickBot="1" x14ac:dyDescent="0.35">
      <c r="A9" s="35"/>
      <c r="B9" s="47">
        <v>2</v>
      </c>
      <c r="C9" s="38" t="s">
        <v>130</v>
      </c>
      <c r="D9" s="38">
        <f ca="1">SUMIF($E$16:$F$97,"Mạnh",$G$16:$G$97)+SUMIF($E$16:$F$97,"All team",$G$16:$G$97)/5+SUMIF($E$16:$F$97,"Mạnh,Hoàng",$G$16:$G$97)/2+SUMIF($E$16:$F$97,"Mạnh,Lộc,Phương,Hoàng",$G$16:$G$97)/4</f>
        <v>8.6</v>
      </c>
      <c r="E9" s="38">
        <f ca="1">SUMIF($E$16:$F$97,"Mạnh",$H$16:$H$97)+SUMIF($E$16:$F$97,"All team",$H$16:$H$97)/5+SUMIF($E$16:$F$97,"Mạnh,Hoàng",$H$16:$H$97)/2+SUMIF($E$16:$F$97,"Mạnh,Lộc,Phương,Hoàng",$H$16:$H$97)/4</f>
        <v>9.4</v>
      </c>
    </row>
    <row r="10" spans="1:59" ht="17.399999999999999" thickBot="1" x14ac:dyDescent="0.35">
      <c r="A10" s="35"/>
      <c r="B10" s="47">
        <v>3</v>
      </c>
      <c r="C10" s="38" t="s">
        <v>131</v>
      </c>
      <c r="D10" s="38">
        <f ca="1">SUMIF($E$16:$F$97,"Phương",$G$16:$G$97)+SUMIF($E$16:$F$97,"All team",$G$16:$G$97)/5+SUMIF($E$16:$F$97,"Thành,Phương",$G$16:$G$97)/2+SUMIF($E$16:$F$97,"Mạnh,Lộc,Phương,Hoàng",$G$16:$G$97)/4</f>
        <v>8.6</v>
      </c>
      <c r="E10" s="38">
        <f ca="1">SUMIF($E$16:$F$97,"Phương",$H$16:$H$97)+SUMIF($E$16:$F$97,"All team",$H$16:$H$97)/5+SUMIF($E$16:$F$97,"Thành,Phương",$H$16:$H$97)/2+SUMIF($E$16:$F$97,"Mạnh,Lộc,Phương,Hoàng",$H$16:$H$97)/4</f>
        <v>9.4</v>
      </c>
    </row>
    <row r="11" spans="1:59" ht="17.399999999999999" thickBot="1" x14ac:dyDescent="0.35">
      <c r="A11" s="35"/>
      <c r="B11" s="47">
        <v>4</v>
      </c>
      <c r="C11" s="38" t="s">
        <v>132</v>
      </c>
      <c r="D11" s="38">
        <f ca="1">SUMIF($E$16:$F$97,"Lộc",$G$16:$G$97)+SUMIF($E$16:$F$97,"All team",$G$16:$G$97)/5+SUMIF($E$16:$F$97,"Mạnh,Lộc,Phương,Hoàng",$G$16:$G$97)/4</f>
        <v>8.6</v>
      </c>
      <c r="E11" s="38">
        <f ca="1">SUMIF($E$16:$F$97,"Lộc",$H$16:$H$97)+SUMIF($E$16:$F$97,"All team",$H$16:$H$97)/5+SUMIF($E$16:$F$97,"Mạnh,Lộc,Phương,Hoàng",$H$16:$H$97)/4</f>
        <v>9.4</v>
      </c>
    </row>
    <row r="12" spans="1:59" ht="17.399999999999999" thickBot="1" x14ac:dyDescent="0.35">
      <c r="A12" s="35"/>
      <c r="B12" s="47">
        <v>5</v>
      </c>
      <c r="C12" s="38" t="s">
        <v>133</v>
      </c>
      <c r="D12" s="38">
        <f ca="1">SUMIF($E$16:$F$97,"Hoàng",$G$16:$G$97)+SUMIF($E$16:$F$97,"All team",$G$16:$G$97)/5+SUMIF($E$16:$F$97,"Mạnh,Hoàng",$G$16:$G$97)/2+SUMIF($E$16:$F$97,"Mạnh,Lộc,Phương,Hoàng",$G$16:$G$97)/4</f>
        <v>8.6</v>
      </c>
      <c r="E12" s="38">
        <f ca="1">SUMIF($E$16:$F$97,"Hoàng",$H$16:$H$97)+SUMIF($E$16:$F$97,"All team",$H$16:$H$97)/5+SUMIF($E$16:$F$97,"Mạnh,Hoàng",$H$16:$H$97)/2+SUMIF($E$16:$F$97,"Mạnh,Lộc,Phương,Hoàng",$H$16:$H$97)/4</f>
        <v>9.4</v>
      </c>
    </row>
    <row r="13" spans="1:59" ht="17.399999999999999" thickBot="1" x14ac:dyDescent="0.35">
      <c r="A13" s="35"/>
      <c r="B13" s="84" t="s">
        <v>12</v>
      </c>
      <c r="C13" s="84"/>
      <c r="D13" s="48">
        <f ca="1">SUM(D8:D12)</f>
        <v>43</v>
      </c>
      <c r="E13" s="48">
        <f ca="1">SUM(E8:E12)</f>
        <v>47</v>
      </c>
    </row>
    <row r="15" spans="1:59" ht="63.75" customHeight="1" x14ac:dyDescent="0.3">
      <c r="A15" s="49" t="s">
        <v>7</v>
      </c>
      <c r="B15" s="49" t="s">
        <v>8</v>
      </c>
      <c r="C15" s="85" t="s">
        <v>9</v>
      </c>
      <c r="D15" s="85"/>
      <c r="E15" s="85" t="s">
        <v>10</v>
      </c>
      <c r="F15" s="85"/>
      <c r="G15" s="50" t="s">
        <v>11</v>
      </c>
      <c r="H15" s="50" t="s">
        <v>49</v>
      </c>
      <c r="I15" s="51">
        <v>45985</v>
      </c>
      <c r="J15" s="51">
        <v>45986</v>
      </c>
      <c r="K15" s="51">
        <v>45987</v>
      </c>
      <c r="L15" s="51">
        <v>45988</v>
      </c>
      <c r="M15" s="51">
        <v>45989</v>
      </c>
      <c r="N15" s="51">
        <v>45990</v>
      </c>
      <c r="O15" s="51">
        <v>45991</v>
      </c>
      <c r="P15" s="51">
        <v>45992</v>
      </c>
      <c r="Q15" s="51">
        <v>45993</v>
      </c>
      <c r="R15" s="51">
        <v>45994</v>
      </c>
      <c r="S15" s="51">
        <v>45995</v>
      </c>
      <c r="T15" s="51">
        <v>45996</v>
      </c>
      <c r="U15" s="51">
        <v>45997</v>
      </c>
      <c r="V15" s="51">
        <v>45998</v>
      </c>
      <c r="W15" s="51">
        <v>45999</v>
      </c>
      <c r="X15" s="51">
        <v>46000</v>
      </c>
      <c r="Y15" s="51">
        <v>46001</v>
      </c>
      <c r="Z15" s="51">
        <v>46002</v>
      </c>
      <c r="AA15" s="51">
        <v>46003</v>
      </c>
      <c r="AB15" s="51">
        <v>46004</v>
      </c>
      <c r="AC15" s="51">
        <v>46005</v>
      </c>
      <c r="AD15" s="51">
        <v>46006</v>
      </c>
      <c r="AE15" s="51">
        <v>46007</v>
      </c>
      <c r="AF15" s="51">
        <v>46008</v>
      </c>
      <c r="AG15" s="51">
        <v>46009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6.8" x14ac:dyDescent="0.3">
      <c r="A16" s="86" t="s">
        <v>38</v>
      </c>
      <c r="B16" s="87" t="s">
        <v>13</v>
      </c>
      <c r="C16" s="87"/>
      <c r="D16" s="87"/>
      <c r="E16" s="88" t="s">
        <v>48</v>
      </c>
      <c r="F16" s="88"/>
      <c r="G16" s="52">
        <v>10</v>
      </c>
      <c r="H16" s="52">
        <v>10</v>
      </c>
      <c r="I16" s="52">
        <v>10</v>
      </c>
      <c r="J16" s="53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</row>
    <row r="17" spans="1:33" ht="16.8" x14ac:dyDescent="0.3">
      <c r="A17" s="86"/>
      <c r="B17" s="87" t="s">
        <v>45</v>
      </c>
      <c r="C17" s="87"/>
      <c r="D17" s="87"/>
      <c r="E17" s="88" t="s">
        <v>83</v>
      </c>
      <c r="F17" s="88"/>
      <c r="G17" s="52">
        <v>2</v>
      </c>
      <c r="H17" s="52">
        <v>4</v>
      </c>
      <c r="I17" s="52">
        <v>4</v>
      </c>
      <c r="J17" s="52">
        <v>2</v>
      </c>
      <c r="K17" s="53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0</v>
      </c>
      <c r="AE17" s="52">
        <v>0</v>
      </c>
      <c r="AF17" s="52">
        <v>0</v>
      </c>
      <c r="AG17" s="52">
        <v>0</v>
      </c>
    </row>
    <row r="18" spans="1:33" ht="16.8" x14ac:dyDescent="0.3">
      <c r="A18" s="86"/>
      <c r="B18" s="88"/>
      <c r="C18" s="88"/>
      <c r="D18" s="88"/>
      <c r="E18" s="88"/>
      <c r="F18" s="88"/>
      <c r="G18" s="52"/>
      <c r="H18" s="52"/>
      <c r="I18" s="52"/>
      <c r="J18" s="52"/>
      <c r="K18" s="54">
        <v>2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</row>
    <row r="19" spans="1:33" ht="16.8" x14ac:dyDescent="0.3">
      <c r="A19" s="86"/>
      <c r="B19" s="87" t="s">
        <v>15</v>
      </c>
      <c r="C19" s="87"/>
      <c r="D19" s="87"/>
      <c r="E19" s="88" t="s">
        <v>48</v>
      </c>
      <c r="F19" s="88"/>
      <c r="G19" s="52">
        <v>4</v>
      </c>
      <c r="H19" s="52">
        <v>4</v>
      </c>
      <c r="I19" s="52">
        <v>4</v>
      </c>
      <c r="J19" s="52">
        <v>4</v>
      </c>
      <c r="K19" s="52">
        <v>4</v>
      </c>
      <c r="L19" s="53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/>
      <c r="AD19" s="52">
        <v>2</v>
      </c>
      <c r="AE19" s="52">
        <v>0</v>
      </c>
      <c r="AF19" s="52">
        <v>0</v>
      </c>
      <c r="AG19" s="52">
        <v>0</v>
      </c>
    </row>
    <row r="20" spans="1:33" ht="17.25" customHeight="1" x14ac:dyDescent="0.3">
      <c r="A20" s="86"/>
      <c r="B20" s="86" t="s">
        <v>17</v>
      </c>
      <c r="C20" s="87" t="s">
        <v>134</v>
      </c>
      <c r="D20" s="87"/>
      <c r="E20" s="88" t="s">
        <v>83</v>
      </c>
      <c r="F20" s="88"/>
      <c r="G20" s="52">
        <v>1</v>
      </c>
      <c r="H20" s="52">
        <v>1</v>
      </c>
      <c r="I20" s="52">
        <v>1</v>
      </c>
      <c r="J20" s="52">
        <v>1</v>
      </c>
      <c r="K20" s="52">
        <v>1</v>
      </c>
      <c r="L20" s="52">
        <v>1</v>
      </c>
      <c r="M20" s="53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2">
        <v>0</v>
      </c>
      <c r="AG20" s="52">
        <v>0</v>
      </c>
    </row>
    <row r="21" spans="1:33" ht="16.8" x14ac:dyDescent="0.3">
      <c r="A21" s="86"/>
      <c r="B21" s="86"/>
      <c r="C21" s="87" t="s">
        <v>135</v>
      </c>
      <c r="D21" s="87"/>
      <c r="E21" s="88" t="s">
        <v>85</v>
      </c>
      <c r="F21" s="88"/>
      <c r="G21" s="52">
        <v>1</v>
      </c>
      <c r="H21" s="52">
        <v>1</v>
      </c>
      <c r="I21" s="52">
        <v>1</v>
      </c>
      <c r="J21" s="52">
        <v>1</v>
      </c>
      <c r="K21" s="52">
        <v>1</v>
      </c>
      <c r="L21" s="52">
        <v>1</v>
      </c>
      <c r="M21" s="53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</v>
      </c>
      <c r="AG21" s="52">
        <v>0</v>
      </c>
    </row>
    <row r="22" spans="1:33" ht="16.8" x14ac:dyDescent="0.3">
      <c r="A22" s="86"/>
      <c r="B22" s="86"/>
      <c r="C22" s="87" t="s">
        <v>136</v>
      </c>
      <c r="D22" s="87"/>
      <c r="E22" s="88" t="s">
        <v>83</v>
      </c>
      <c r="F22" s="88"/>
      <c r="G22" s="52">
        <v>1</v>
      </c>
      <c r="H22" s="52">
        <v>1</v>
      </c>
      <c r="I22" s="52">
        <v>1</v>
      </c>
      <c r="J22" s="52">
        <v>1</v>
      </c>
      <c r="K22" s="52">
        <v>1</v>
      </c>
      <c r="L22" s="52">
        <v>1</v>
      </c>
      <c r="M22" s="53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</row>
    <row r="23" spans="1:33" ht="16.8" x14ac:dyDescent="0.3">
      <c r="A23" s="86"/>
      <c r="B23" s="86"/>
      <c r="C23" s="87" t="s">
        <v>137</v>
      </c>
      <c r="D23" s="87"/>
      <c r="E23" s="88" t="s">
        <v>90</v>
      </c>
      <c r="F23" s="88"/>
      <c r="G23" s="52">
        <v>2</v>
      </c>
      <c r="H23" s="52">
        <v>2</v>
      </c>
      <c r="I23" s="52">
        <v>2</v>
      </c>
      <c r="J23" s="52">
        <v>2</v>
      </c>
      <c r="K23" s="52">
        <v>2</v>
      </c>
      <c r="L23" s="52">
        <v>2</v>
      </c>
      <c r="M23" s="53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2">
        <v>0</v>
      </c>
      <c r="AG23" s="52">
        <v>0</v>
      </c>
    </row>
    <row r="24" spans="1:33" ht="16.8" x14ac:dyDescent="0.3">
      <c r="A24" s="86"/>
      <c r="B24" s="86"/>
      <c r="C24" s="87" t="s">
        <v>138</v>
      </c>
      <c r="D24" s="87"/>
      <c r="E24" s="88" t="s">
        <v>90</v>
      </c>
      <c r="F24" s="88"/>
      <c r="G24" s="52">
        <v>1</v>
      </c>
      <c r="H24" s="52">
        <v>1</v>
      </c>
      <c r="I24" s="52">
        <v>1</v>
      </c>
      <c r="J24" s="52">
        <v>1</v>
      </c>
      <c r="K24" s="52">
        <v>1</v>
      </c>
      <c r="L24" s="52">
        <v>1</v>
      </c>
      <c r="M24" s="52">
        <v>1</v>
      </c>
      <c r="N24" s="53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</row>
    <row r="25" spans="1:33" ht="16.8" x14ac:dyDescent="0.3">
      <c r="A25" s="86"/>
      <c r="B25" s="86"/>
      <c r="C25" s="87" t="s">
        <v>139</v>
      </c>
      <c r="D25" s="87"/>
      <c r="E25" s="88" t="s">
        <v>85</v>
      </c>
      <c r="F25" s="88"/>
      <c r="G25" s="52">
        <v>1</v>
      </c>
      <c r="H25" s="52">
        <v>1</v>
      </c>
      <c r="I25" s="52">
        <v>1</v>
      </c>
      <c r="J25" s="52">
        <v>1</v>
      </c>
      <c r="K25" s="52">
        <v>1</v>
      </c>
      <c r="L25" s="52">
        <v>1</v>
      </c>
      <c r="M25" s="52">
        <v>1</v>
      </c>
      <c r="N25" s="53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2">
        <v>0</v>
      </c>
      <c r="AG25" s="52">
        <v>0</v>
      </c>
    </row>
    <row r="26" spans="1:33" ht="16.8" x14ac:dyDescent="0.3">
      <c r="A26" s="86"/>
      <c r="B26" s="86"/>
      <c r="C26" s="91" t="s">
        <v>140</v>
      </c>
      <c r="D26" s="92"/>
      <c r="E26" s="89" t="s">
        <v>89</v>
      </c>
      <c r="F26" s="90"/>
      <c r="G26" s="52">
        <v>1</v>
      </c>
      <c r="H26" s="52">
        <v>1</v>
      </c>
      <c r="I26" s="52">
        <v>1</v>
      </c>
      <c r="J26" s="52">
        <v>1</v>
      </c>
      <c r="K26" s="52">
        <v>1</v>
      </c>
      <c r="L26" s="52">
        <v>1</v>
      </c>
      <c r="M26" s="52">
        <v>1</v>
      </c>
      <c r="N26" s="53">
        <v>0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 spans="1:33" ht="16.8" x14ac:dyDescent="0.3">
      <c r="A27" s="86"/>
      <c r="B27" s="86"/>
      <c r="C27" s="87" t="s">
        <v>141</v>
      </c>
      <c r="D27" s="87"/>
      <c r="E27" s="89" t="s">
        <v>85</v>
      </c>
      <c r="F27" s="90"/>
      <c r="G27" s="52">
        <v>2</v>
      </c>
      <c r="H27" s="52">
        <v>2</v>
      </c>
      <c r="I27" s="52">
        <v>2</v>
      </c>
      <c r="J27" s="52">
        <v>2</v>
      </c>
      <c r="K27" s="52">
        <v>2</v>
      </c>
      <c r="L27" s="52">
        <v>2</v>
      </c>
      <c r="M27" s="52">
        <v>2</v>
      </c>
      <c r="N27" s="53">
        <v>0</v>
      </c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 spans="1:33" ht="16.8" x14ac:dyDescent="0.3">
      <c r="A28" s="86"/>
      <c r="B28" s="86"/>
      <c r="C28" s="91" t="s">
        <v>46</v>
      </c>
      <c r="D28" s="92"/>
      <c r="E28" s="89" t="s">
        <v>48</v>
      </c>
      <c r="F28" s="90"/>
      <c r="G28" s="52">
        <v>2</v>
      </c>
      <c r="H28" s="52">
        <v>2</v>
      </c>
      <c r="I28" s="52">
        <v>2</v>
      </c>
      <c r="J28" s="52">
        <v>2</v>
      </c>
      <c r="K28" s="52">
        <v>2</v>
      </c>
      <c r="L28" s="52">
        <v>2</v>
      </c>
      <c r="M28" s="52">
        <v>2</v>
      </c>
      <c r="N28" s="53">
        <v>0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 spans="1:33" ht="16.8" x14ac:dyDescent="0.3">
      <c r="A29" s="86"/>
      <c r="B29" s="86"/>
      <c r="C29" s="87"/>
      <c r="D29" s="87"/>
      <c r="E29" s="88"/>
      <c r="F29" s="88"/>
      <c r="G29" s="52">
        <v>5</v>
      </c>
      <c r="H29" s="52">
        <v>10</v>
      </c>
      <c r="I29" s="52">
        <v>10</v>
      </c>
      <c r="J29" s="52">
        <v>10</v>
      </c>
      <c r="K29" s="52">
        <v>10</v>
      </c>
      <c r="L29" s="52">
        <v>10</v>
      </c>
      <c r="M29" s="52">
        <v>10</v>
      </c>
      <c r="N29" s="52">
        <v>5</v>
      </c>
      <c r="O29" s="53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2">
        <v>0</v>
      </c>
      <c r="AG29" s="52">
        <v>0</v>
      </c>
    </row>
    <row r="30" spans="1:33" ht="16.8" x14ac:dyDescent="0.3">
      <c r="A30" s="86"/>
      <c r="B30" s="86"/>
      <c r="C30" s="88"/>
      <c r="D30" s="88"/>
      <c r="E30" s="88"/>
      <c r="F30" s="88"/>
      <c r="G30" s="52"/>
      <c r="H30" s="52"/>
      <c r="I30" s="52"/>
      <c r="J30" s="52"/>
      <c r="K30" s="52"/>
      <c r="L30" s="52"/>
      <c r="M30" s="55">
        <v>1</v>
      </c>
      <c r="N30" s="7"/>
      <c r="O30" s="54">
        <v>5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</row>
    <row r="31" spans="1:33" ht="16.8" x14ac:dyDescent="0.3">
      <c r="A31" s="86"/>
      <c r="B31" s="86" t="s">
        <v>22</v>
      </c>
      <c r="C31" s="87" t="s">
        <v>142</v>
      </c>
      <c r="D31" s="87"/>
      <c r="E31" s="88" t="s">
        <v>88</v>
      </c>
      <c r="F31" s="88"/>
      <c r="G31" s="52">
        <v>1</v>
      </c>
      <c r="H31" s="52">
        <v>1</v>
      </c>
      <c r="I31" s="52">
        <v>1</v>
      </c>
      <c r="J31" s="52">
        <v>1</v>
      </c>
      <c r="K31" s="52">
        <v>1</v>
      </c>
      <c r="L31" s="52">
        <v>1</v>
      </c>
      <c r="M31" s="52">
        <v>1</v>
      </c>
      <c r="N31" s="52">
        <v>1</v>
      </c>
      <c r="O31" s="52">
        <v>1</v>
      </c>
      <c r="P31" s="53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2">
        <v>0</v>
      </c>
      <c r="AG31" s="52">
        <v>0</v>
      </c>
    </row>
    <row r="32" spans="1:33" ht="16.8" x14ac:dyDescent="0.3">
      <c r="A32" s="86"/>
      <c r="B32" s="86"/>
      <c r="C32" s="87" t="s">
        <v>143</v>
      </c>
      <c r="D32" s="87"/>
      <c r="E32" s="88" t="s">
        <v>89</v>
      </c>
      <c r="F32" s="88"/>
      <c r="G32" s="52">
        <v>3</v>
      </c>
      <c r="H32" s="52">
        <v>1</v>
      </c>
      <c r="I32" s="52">
        <v>1</v>
      </c>
      <c r="J32" s="52">
        <v>1</v>
      </c>
      <c r="K32" s="52">
        <v>1</v>
      </c>
      <c r="L32" s="52">
        <v>1</v>
      </c>
      <c r="M32" s="52">
        <v>1</v>
      </c>
      <c r="N32" s="52">
        <v>1</v>
      </c>
      <c r="O32" s="52">
        <v>1</v>
      </c>
      <c r="P32" s="53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2">
        <v>0</v>
      </c>
      <c r="AG32" s="52">
        <v>0</v>
      </c>
    </row>
    <row r="33" spans="1:33" ht="16.8" x14ac:dyDescent="0.3">
      <c r="A33" s="86"/>
      <c r="B33" s="86"/>
      <c r="C33" s="88"/>
      <c r="D33" s="88"/>
      <c r="E33" s="88"/>
      <c r="F33" s="88"/>
      <c r="G33" s="52"/>
      <c r="H33" s="52"/>
      <c r="I33" s="52"/>
      <c r="J33" s="52"/>
      <c r="K33" s="52"/>
      <c r="L33" s="52"/>
      <c r="M33" s="52"/>
      <c r="N33" s="52"/>
      <c r="O33" s="7"/>
      <c r="P33" s="55">
        <v>2</v>
      </c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</row>
    <row r="34" spans="1:33" ht="16.8" x14ac:dyDescent="0.3">
      <c r="A34" s="86"/>
      <c r="B34" s="86"/>
      <c r="C34" s="87" t="s">
        <v>144</v>
      </c>
      <c r="D34" s="87"/>
      <c r="E34" s="88" t="s">
        <v>85</v>
      </c>
      <c r="F34" s="88"/>
      <c r="G34" s="52">
        <v>1</v>
      </c>
      <c r="H34" s="52">
        <v>1</v>
      </c>
      <c r="I34" s="52">
        <v>1</v>
      </c>
      <c r="J34" s="52">
        <v>1</v>
      </c>
      <c r="K34" s="52">
        <v>1</v>
      </c>
      <c r="L34" s="52">
        <v>1</v>
      </c>
      <c r="M34" s="52">
        <v>1</v>
      </c>
      <c r="N34" s="52">
        <v>1</v>
      </c>
      <c r="O34" s="52">
        <v>1</v>
      </c>
      <c r="P34" s="53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</row>
    <row r="35" spans="1:33" ht="16.8" x14ac:dyDescent="0.3">
      <c r="A35" s="86"/>
      <c r="B35" s="86"/>
      <c r="C35" s="87" t="s">
        <v>145</v>
      </c>
      <c r="D35" s="87"/>
      <c r="E35" s="93" t="s">
        <v>89</v>
      </c>
      <c r="F35" s="88"/>
      <c r="G35" s="52">
        <v>1</v>
      </c>
      <c r="H35" s="52">
        <v>1</v>
      </c>
      <c r="I35" s="52">
        <v>1</v>
      </c>
      <c r="J35" s="52">
        <v>1</v>
      </c>
      <c r="K35" s="52">
        <v>1</v>
      </c>
      <c r="L35" s="52">
        <v>1</v>
      </c>
      <c r="M35" s="52">
        <v>1</v>
      </c>
      <c r="N35" s="52">
        <v>1</v>
      </c>
      <c r="O35" s="52">
        <v>1</v>
      </c>
      <c r="P35" s="53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2">
        <v>0</v>
      </c>
      <c r="AG35" s="52">
        <v>0</v>
      </c>
    </row>
    <row r="36" spans="1:33" ht="16.8" x14ac:dyDescent="0.3">
      <c r="A36" s="86"/>
      <c r="B36" s="86"/>
      <c r="C36" s="87" t="s">
        <v>146</v>
      </c>
      <c r="D36" s="87"/>
      <c r="E36" s="88" t="s">
        <v>90</v>
      </c>
      <c r="F36" s="88"/>
      <c r="G36" s="52">
        <v>1</v>
      </c>
      <c r="H36" s="52">
        <v>1</v>
      </c>
      <c r="I36" s="52">
        <v>1</v>
      </c>
      <c r="J36" s="52">
        <v>1</v>
      </c>
      <c r="K36" s="52">
        <v>1</v>
      </c>
      <c r="L36" s="52">
        <v>1</v>
      </c>
      <c r="M36" s="52">
        <v>1</v>
      </c>
      <c r="N36" s="52">
        <v>1</v>
      </c>
      <c r="O36" s="52">
        <v>1</v>
      </c>
      <c r="P36" s="52">
        <v>1</v>
      </c>
      <c r="Q36" s="53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2">
        <v>0</v>
      </c>
      <c r="AG36" s="52">
        <v>0</v>
      </c>
    </row>
    <row r="37" spans="1:33" ht="16.8" x14ac:dyDescent="0.3">
      <c r="A37" s="86"/>
      <c r="B37" s="86"/>
      <c r="C37" s="87" t="s">
        <v>147</v>
      </c>
      <c r="D37" s="87"/>
      <c r="E37" s="88" t="s">
        <v>83</v>
      </c>
      <c r="F37" s="88"/>
      <c r="G37" s="52">
        <v>1</v>
      </c>
      <c r="H37" s="52">
        <v>1</v>
      </c>
      <c r="I37" s="52">
        <v>1</v>
      </c>
      <c r="J37" s="52">
        <v>1</v>
      </c>
      <c r="K37" s="52">
        <v>1</v>
      </c>
      <c r="L37" s="52">
        <v>1</v>
      </c>
      <c r="M37" s="52">
        <v>1</v>
      </c>
      <c r="N37" s="52">
        <v>1</v>
      </c>
      <c r="O37" s="52">
        <v>1</v>
      </c>
      <c r="P37" s="52">
        <v>1</v>
      </c>
      <c r="Q37" s="53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2">
        <v>0</v>
      </c>
      <c r="AG37" s="52">
        <v>0</v>
      </c>
    </row>
    <row r="38" spans="1:33" ht="16.8" x14ac:dyDescent="0.3">
      <c r="A38" s="86"/>
      <c r="B38" s="86"/>
      <c r="C38" s="87" t="s">
        <v>148</v>
      </c>
      <c r="D38" s="87"/>
      <c r="E38" s="89" t="s">
        <v>88</v>
      </c>
      <c r="F38" s="90"/>
      <c r="G38" s="52">
        <v>1</v>
      </c>
      <c r="H38" s="52">
        <v>1</v>
      </c>
      <c r="I38" s="52">
        <v>1</v>
      </c>
      <c r="J38" s="52">
        <v>1</v>
      </c>
      <c r="K38" s="52">
        <v>1</v>
      </c>
      <c r="L38" s="52">
        <v>1</v>
      </c>
      <c r="M38" s="52">
        <v>1</v>
      </c>
      <c r="N38" s="52">
        <v>1</v>
      </c>
      <c r="O38" s="52">
        <v>1</v>
      </c>
      <c r="P38" s="52">
        <v>1</v>
      </c>
      <c r="Q38" s="53">
        <v>0</v>
      </c>
      <c r="R38" s="52">
        <v>0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2">
        <v>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2">
        <v>0</v>
      </c>
      <c r="AG38" s="52">
        <v>0</v>
      </c>
    </row>
    <row r="39" spans="1:33" ht="16.8" x14ac:dyDescent="0.3">
      <c r="A39" s="86"/>
      <c r="B39" s="86"/>
      <c r="C39" s="87" t="s">
        <v>149</v>
      </c>
      <c r="D39" s="87"/>
      <c r="E39" s="89" t="s">
        <v>85</v>
      </c>
      <c r="F39" s="90"/>
      <c r="G39" s="52">
        <v>1</v>
      </c>
      <c r="H39" s="52">
        <v>1</v>
      </c>
      <c r="I39" s="52">
        <v>1</v>
      </c>
      <c r="J39" s="52">
        <v>1</v>
      </c>
      <c r="K39" s="52">
        <v>1</v>
      </c>
      <c r="L39" s="52">
        <v>1</v>
      </c>
      <c r="M39" s="52">
        <v>1</v>
      </c>
      <c r="N39" s="52">
        <v>1</v>
      </c>
      <c r="O39" s="52">
        <v>1</v>
      </c>
      <c r="P39" s="52">
        <v>1</v>
      </c>
      <c r="Q39" s="53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</row>
    <row r="40" spans="1:33" ht="16.8" x14ac:dyDescent="0.3">
      <c r="A40" s="86"/>
      <c r="B40" s="86"/>
      <c r="C40" s="87"/>
      <c r="D40" s="87"/>
      <c r="E40" s="89"/>
      <c r="F40" s="90"/>
      <c r="G40" s="52">
        <v>1</v>
      </c>
      <c r="H40" s="52">
        <v>1</v>
      </c>
      <c r="I40" s="52">
        <v>1</v>
      </c>
      <c r="J40" s="52">
        <v>1</v>
      </c>
      <c r="K40" s="52">
        <v>1</v>
      </c>
      <c r="L40" s="52">
        <v>1</v>
      </c>
      <c r="M40" s="52">
        <v>1</v>
      </c>
      <c r="N40" s="52">
        <v>1</v>
      </c>
      <c r="O40" s="52">
        <v>1</v>
      </c>
      <c r="P40" s="52">
        <v>1</v>
      </c>
      <c r="Q40" s="53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2">
        <v>0</v>
      </c>
      <c r="AG40" s="52">
        <v>0</v>
      </c>
    </row>
    <row r="41" spans="1:33" ht="16.8" x14ac:dyDescent="0.3">
      <c r="A41" s="86"/>
      <c r="B41" s="86"/>
      <c r="C41" s="87" t="s">
        <v>47</v>
      </c>
      <c r="D41" s="87"/>
      <c r="E41" s="88" t="s">
        <v>48</v>
      </c>
      <c r="F41" s="88"/>
      <c r="G41" s="52">
        <v>7</v>
      </c>
      <c r="H41" s="52">
        <v>10</v>
      </c>
      <c r="I41" s="52">
        <v>10</v>
      </c>
      <c r="J41" s="52">
        <v>10</v>
      </c>
      <c r="K41" s="52">
        <v>10</v>
      </c>
      <c r="L41" s="52">
        <v>10</v>
      </c>
      <c r="M41" s="52">
        <v>10</v>
      </c>
      <c r="N41" s="52">
        <v>10</v>
      </c>
      <c r="O41" s="52">
        <v>10</v>
      </c>
      <c r="P41" s="52">
        <v>10</v>
      </c>
      <c r="Q41" s="52">
        <v>7</v>
      </c>
      <c r="R41" s="53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2">
        <v>0</v>
      </c>
      <c r="AG41" s="52">
        <v>0</v>
      </c>
    </row>
    <row r="42" spans="1:33" ht="16.8" x14ac:dyDescent="0.3">
      <c r="A42" s="86"/>
      <c r="B42" s="86"/>
      <c r="C42" s="88"/>
      <c r="D42" s="88"/>
      <c r="E42" s="88"/>
      <c r="F42" s="88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7"/>
      <c r="R42" s="54">
        <v>3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 spans="1:33" ht="16.8" x14ac:dyDescent="0.3">
      <c r="A43" s="86"/>
      <c r="B43" s="86" t="s">
        <v>28</v>
      </c>
      <c r="C43" s="87" t="s">
        <v>150</v>
      </c>
      <c r="D43" s="87"/>
      <c r="E43" s="88" t="s">
        <v>151</v>
      </c>
      <c r="F43" s="88"/>
      <c r="G43" s="52">
        <v>1</v>
      </c>
      <c r="H43" s="52">
        <v>2</v>
      </c>
      <c r="I43" s="52">
        <v>2</v>
      </c>
      <c r="J43" s="52">
        <v>2</v>
      </c>
      <c r="K43" s="52">
        <v>2</v>
      </c>
      <c r="L43" s="52">
        <v>2</v>
      </c>
      <c r="M43" s="52">
        <v>2</v>
      </c>
      <c r="N43" s="52">
        <v>2</v>
      </c>
      <c r="O43" s="52">
        <v>2</v>
      </c>
      <c r="P43" s="52">
        <v>2</v>
      </c>
      <c r="Q43" s="52">
        <v>2</v>
      </c>
      <c r="R43" s="52">
        <v>1</v>
      </c>
      <c r="S43" s="53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2">
        <v>0</v>
      </c>
      <c r="AG43" s="52">
        <v>0</v>
      </c>
    </row>
    <row r="44" spans="1:33" ht="16.8" x14ac:dyDescent="0.3">
      <c r="A44" s="86"/>
      <c r="B44" s="86"/>
      <c r="C44" s="88"/>
      <c r="D44" s="88"/>
      <c r="E44" s="88"/>
      <c r="F44" s="88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7"/>
      <c r="S44" s="54">
        <v>1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 spans="1:33" ht="16.8" x14ac:dyDescent="0.3">
      <c r="A45" s="86"/>
      <c r="B45" s="86"/>
      <c r="C45" s="87" t="s">
        <v>152</v>
      </c>
      <c r="D45" s="87"/>
      <c r="E45" s="88" t="s">
        <v>90</v>
      </c>
      <c r="F45" s="88"/>
      <c r="G45" s="52">
        <v>2</v>
      </c>
      <c r="H45" s="52">
        <v>2</v>
      </c>
      <c r="I45" s="52">
        <v>2</v>
      </c>
      <c r="J45" s="52">
        <v>2</v>
      </c>
      <c r="K45" s="52">
        <v>2</v>
      </c>
      <c r="L45" s="52">
        <v>2</v>
      </c>
      <c r="M45" s="52">
        <v>2</v>
      </c>
      <c r="N45" s="52">
        <v>2</v>
      </c>
      <c r="O45" s="52">
        <v>2</v>
      </c>
      <c r="P45" s="52">
        <v>2</v>
      </c>
      <c r="Q45" s="52">
        <v>2</v>
      </c>
      <c r="R45" s="52">
        <v>2</v>
      </c>
      <c r="S45" s="53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2">
        <v>0</v>
      </c>
      <c r="AG45" s="52">
        <v>0</v>
      </c>
    </row>
    <row r="46" spans="1:33" ht="16.8" x14ac:dyDescent="0.3">
      <c r="A46" s="86"/>
      <c r="B46" s="86"/>
      <c r="C46" s="87" t="s">
        <v>153</v>
      </c>
      <c r="D46" s="87"/>
      <c r="E46" s="88" t="s">
        <v>85</v>
      </c>
      <c r="F46" s="88"/>
      <c r="G46" s="52">
        <v>2</v>
      </c>
      <c r="H46" s="52">
        <v>2</v>
      </c>
      <c r="I46" s="52">
        <v>2</v>
      </c>
      <c r="J46" s="52">
        <v>2</v>
      </c>
      <c r="K46" s="52">
        <v>2</v>
      </c>
      <c r="L46" s="52">
        <v>2</v>
      </c>
      <c r="M46" s="52">
        <v>2</v>
      </c>
      <c r="N46" s="52">
        <v>2</v>
      </c>
      <c r="O46" s="52">
        <v>2</v>
      </c>
      <c r="P46" s="52">
        <v>2</v>
      </c>
      <c r="Q46" s="52">
        <v>2</v>
      </c>
      <c r="R46" s="52">
        <v>2</v>
      </c>
      <c r="S46" s="53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2">
        <v>0</v>
      </c>
      <c r="AG46" s="52">
        <v>0</v>
      </c>
    </row>
    <row r="47" spans="1:33" ht="16.8" x14ac:dyDescent="0.3">
      <c r="A47" s="86"/>
      <c r="B47" s="86"/>
      <c r="C47" s="87" t="s">
        <v>154</v>
      </c>
      <c r="D47" s="87"/>
      <c r="E47" s="88" t="s">
        <v>90</v>
      </c>
      <c r="F47" s="88"/>
      <c r="G47" s="52">
        <v>6</v>
      </c>
      <c r="H47" s="52">
        <v>4</v>
      </c>
      <c r="I47" s="52">
        <v>4</v>
      </c>
      <c r="J47" s="52">
        <v>4</v>
      </c>
      <c r="K47" s="52">
        <v>4</v>
      </c>
      <c r="L47" s="52">
        <v>4</v>
      </c>
      <c r="M47" s="52">
        <v>4</v>
      </c>
      <c r="N47" s="52">
        <v>4</v>
      </c>
      <c r="O47" s="52">
        <v>4</v>
      </c>
      <c r="P47" s="52">
        <v>4</v>
      </c>
      <c r="Q47" s="52">
        <v>4</v>
      </c>
      <c r="R47" s="52">
        <v>4</v>
      </c>
      <c r="S47" s="52">
        <v>2</v>
      </c>
      <c r="T47" s="53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2">
        <v>0</v>
      </c>
      <c r="AG47" s="52">
        <v>0</v>
      </c>
    </row>
    <row r="48" spans="1:33" ht="16.8" x14ac:dyDescent="0.3">
      <c r="A48" s="86"/>
      <c r="B48" s="86"/>
      <c r="C48" s="94"/>
      <c r="D48" s="94"/>
      <c r="E48" s="88"/>
      <c r="F48" s="88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7"/>
      <c r="T48" s="55">
        <v>2</v>
      </c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</row>
    <row r="49" spans="1:33" ht="16.8" x14ac:dyDescent="0.3">
      <c r="A49" s="86"/>
      <c r="B49" s="86"/>
      <c r="C49" s="87" t="s">
        <v>155</v>
      </c>
      <c r="D49" s="87"/>
      <c r="E49" s="88" t="s">
        <v>83</v>
      </c>
      <c r="F49" s="88"/>
      <c r="G49" s="52">
        <v>2</v>
      </c>
      <c r="H49" s="52">
        <v>2</v>
      </c>
      <c r="I49" s="52">
        <v>2</v>
      </c>
      <c r="J49" s="52">
        <v>2</v>
      </c>
      <c r="K49" s="52">
        <v>2</v>
      </c>
      <c r="L49" s="52">
        <v>2</v>
      </c>
      <c r="M49" s="52">
        <v>2</v>
      </c>
      <c r="N49" s="52">
        <v>2</v>
      </c>
      <c r="O49" s="52">
        <v>2</v>
      </c>
      <c r="P49" s="52">
        <v>2</v>
      </c>
      <c r="Q49" s="52">
        <v>2</v>
      </c>
      <c r="R49" s="52">
        <v>2</v>
      </c>
      <c r="S49" s="52">
        <v>2</v>
      </c>
      <c r="T49" s="53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2">
        <v>0</v>
      </c>
      <c r="AG49" s="52">
        <v>0</v>
      </c>
    </row>
    <row r="50" spans="1:33" ht="16.8" x14ac:dyDescent="0.3">
      <c r="A50" s="86"/>
      <c r="B50" s="86"/>
      <c r="C50" s="87" t="s">
        <v>156</v>
      </c>
      <c r="D50" s="87"/>
      <c r="E50" s="88" t="s">
        <v>90</v>
      </c>
      <c r="F50" s="88"/>
      <c r="G50" s="52">
        <v>2</v>
      </c>
      <c r="H50" s="52">
        <v>2</v>
      </c>
      <c r="I50" s="52">
        <v>2</v>
      </c>
      <c r="J50" s="52">
        <v>2</v>
      </c>
      <c r="K50" s="52">
        <v>2</v>
      </c>
      <c r="L50" s="52">
        <v>2</v>
      </c>
      <c r="M50" s="52">
        <v>2</v>
      </c>
      <c r="N50" s="52">
        <v>2</v>
      </c>
      <c r="O50" s="52">
        <v>2</v>
      </c>
      <c r="P50" s="52">
        <v>2</v>
      </c>
      <c r="Q50" s="52">
        <v>2</v>
      </c>
      <c r="R50" s="52">
        <v>2</v>
      </c>
      <c r="S50" s="52">
        <v>2</v>
      </c>
      <c r="T50" s="53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2">
        <v>0</v>
      </c>
      <c r="AG50" s="52">
        <v>0</v>
      </c>
    </row>
    <row r="51" spans="1:33" ht="16.8" x14ac:dyDescent="0.3">
      <c r="A51" s="86"/>
      <c r="B51" s="86"/>
      <c r="C51" s="87" t="s">
        <v>157</v>
      </c>
      <c r="D51" s="87"/>
      <c r="E51" s="88" t="s">
        <v>90</v>
      </c>
      <c r="F51" s="88"/>
      <c r="G51" s="52">
        <v>2</v>
      </c>
      <c r="H51" s="52">
        <v>2</v>
      </c>
      <c r="I51" s="52">
        <v>2</v>
      </c>
      <c r="J51" s="52">
        <v>2</v>
      </c>
      <c r="K51" s="52">
        <v>2</v>
      </c>
      <c r="L51" s="52">
        <v>2</v>
      </c>
      <c r="M51" s="52">
        <v>2</v>
      </c>
      <c r="N51" s="52">
        <v>2</v>
      </c>
      <c r="O51" s="52">
        <v>2</v>
      </c>
      <c r="P51" s="52">
        <v>2</v>
      </c>
      <c r="Q51" s="52">
        <v>2</v>
      </c>
      <c r="R51" s="52">
        <v>2</v>
      </c>
      <c r="S51" s="52">
        <v>2</v>
      </c>
      <c r="T51" s="52">
        <v>2</v>
      </c>
      <c r="U51" s="53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2">
        <v>0</v>
      </c>
      <c r="AG51" s="52">
        <v>0</v>
      </c>
    </row>
    <row r="52" spans="1:33" ht="16.8" x14ac:dyDescent="0.3">
      <c r="A52" s="86"/>
      <c r="B52" s="86"/>
      <c r="C52" s="87" t="s">
        <v>158</v>
      </c>
      <c r="D52" s="87"/>
      <c r="E52" s="88" t="s">
        <v>90</v>
      </c>
      <c r="F52" s="88"/>
      <c r="G52" s="52">
        <v>2</v>
      </c>
      <c r="H52" s="52">
        <v>2</v>
      </c>
      <c r="I52" s="52">
        <v>2</v>
      </c>
      <c r="J52" s="52">
        <v>2</v>
      </c>
      <c r="K52" s="52">
        <v>2</v>
      </c>
      <c r="L52" s="52">
        <v>2</v>
      </c>
      <c r="M52" s="52">
        <v>2</v>
      </c>
      <c r="N52" s="52">
        <v>2</v>
      </c>
      <c r="O52" s="52">
        <v>2</v>
      </c>
      <c r="P52" s="52">
        <v>2</v>
      </c>
      <c r="Q52" s="52">
        <v>2</v>
      </c>
      <c r="R52" s="52">
        <v>2</v>
      </c>
      <c r="S52" s="52">
        <v>2</v>
      </c>
      <c r="T52" s="52">
        <v>2</v>
      </c>
      <c r="U52" s="53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52">
        <v>0</v>
      </c>
    </row>
    <row r="53" spans="1:33" ht="16.8" x14ac:dyDescent="0.3">
      <c r="A53" s="86"/>
      <c r="B53" s="86"/>
      <c r="C53" s="87" t="s">
        <v>159</v>
      </c>
      <c r="D53" s="87"/>
      <c r="E53" s="88" t="s">
        <v>90</v>
      </c>
      <c r="F53" s="88"/>
      <c r="G53" s="52">
        <v>3</v>
      </c>
      <c r="H53" s="52">
        <v>2</v>
      </c>
      <c r="I53" s="52">
        <v>2</v>
      </c>
      <c r="J53" s="52">
        <v>2</v>
      </c>
      <c r="K53" s="52">
        <v>2</v>
      </c>
      <c r="L53" s="52">
        <v>2</v>
      </c>
      <c r="M53" s="52">
        <v>2</v>
      </c>
      <c r="N53" s="52">
        <v>2</v>
      </c>
      <c r="O53" s="52">
        <v>2</v>
      </c>
      <c r="P53" s="52">
        <v>2</v>
      </c>
      <c r="Q53" s="52">
        <v>2</v>
      </c>
      <c r="R53" s="52">
        <v>2</v>
      </c>
      <c r="S53" s="52">
        <v>2</v>
      </c>
      <c r="T53" s="52">
        <v>2</v>
      </c>
      <c r="U53" s="52">
        <v>2</v>
      </c>
      <c r="V53" s="53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52">
        <v>0</v>
      </c>
    </row>
    <row r="54" spans="1:33" ht="16.8" x14ac:dyDescent="0.3">
      <c r="A54" s="86"/>
      <c r="B54" s="86"/>
      <c r="C54" s="88"/>
      <c r="D54" s="88"/>
      <c r="E54" s="88"/>
      <c r="F54" s="88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7"/>
      <c r="V54" s="55">
        <v>1</v>
      </c>
      <c r="W54" s="55">
        <v>1</v>
      </c>
      <c r="X54" s="52"/>
      <c r="Y54" s="52"/>
      <c r="Z54" s="52"/>
      <c r="AA54" s="52"/>
      <c r="AB54" s="52"/>
      <c r="AC54" s="52"/>
      <c r="AD54" s="52"/>
      <c r="AE54" s="52"/>
      <c r="AF54" s="52"/>
      <c r="AG54" s="52"/>
    </row>
    <row r="55" spans="1:33" ht="16.8" x14ac:dyDescent="0.3">
      <c r="A55" s="86"/>
      <c r="B55" s="86"/>
      <c r="C55" s="87" t="s">
        <v>160</v>
      </c>
      <c r="D55" s="87"/>
      <c r="E55" s="88" t="s">
        <v>90</v>
      </c>
      <c r="F55" s="88"/>
      <c r="G55" s="52">
        <v>4</v>
      </c>
      <c r="H55" s="52">
        <v>4</v>
      </c>
      <c r="I55" s="52">
        <v>4</v>
      </c>
      <c r="J55" s="52">
        <v>4</v>
      </c>
      <c r="K55" s="52">
        <v>4</v>
      </c>
      <c r="L55" s="52">
        <v>4</v>
      </c>
      <c r="M55" s="52">
        <v>4</v>
      </c>
      <c r="N55" s="52">
        <v>4</v>
      </c>
      <c r="O55" s="52">
        <v>4</v>
      </c>
      <c r="P55" s="52">
        <v>4</v>
      </c>
      <c r="Q55" s="52">
        <v>4</v>
      </c>
      <c r="R55" s="52">
        <v>4</v>
      </c>
      <c r="S55" s="52">
        <v>4</v>
      </c>
      <c r="T55" s="52">
        <v>4</v>
      </c>
      <c r="U55" s="52">
        <v>4</v>
      </c>
      <c r="V55" s="52">
        <v>2</v>
      </c>
      <c r="W55" s="53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52">
        <v>0</v>
      </c>
    </row>
    <row r="56" spans="1:33" ht="16.8" x14ac:dyDescent="0.3">
      <c r="A56" s="86"/>
      <c r="B56" s="86"/>
      <c r="C56" s="87" t="s">
        <v>161</v>
      </c>
      <c r="D56" s="87"/>
      <c r="E56" s="88" t="s">
        <v>151</v>
      </c>
      <c r="F56" s="88"/>
      <c r="G56" s="52">
        <v>2</v>
      </c>
      <c r="H56" s="52">
        <v>2</v>
      </c>
      <c r="I56" s="52">
        <v>2</v>
      </c>
      <c r="J56" s="52">
        <v>2</v>
      </c>
      <c r="K56" s="52">
        <v>2</v>
      </c>
      <c r="L56" s="52">
        <v>2</v>
      </c>
      <c r="M56" s="52">
        <v>2</v>
      </c>
      <c r="N56" s="52">
        <v>2</v>
      </c>
      <c r="O56" s="52">
        <v>2</v>
      </c>
      <c r="P56" s="52">
        <v>2</v>
      </c>
      <c r="Q56" s="52">
        <v>2</v>
      </c>
      <c r="R56" s="52">
        <v>2</v>
      </c>
      <c r="S56" s="52">
        <v>2</v>
      </c>
      <c r="T56" s="52">
        <v>2</v>
      </c>
      <c r="U56" s="52">
        <v>2</v>
      </c>
      <c r="V56" s="52">
        <v>2</v>
      </c>
      <c r="W56" s="53">
        <v>0</v>
      </c>
      <c r="X56" s="52">
        <v>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52">
        <v>0</v>
      </c>
    </row>
    <row r="57" spans="1:33" ht="16.8" x14ac:dyDescent="0.3">
      <c r="A57" s="86"/>
      <c r="B57" s="86"/>
      <c r="C57" s="87" t="s">
        <v>162</v>
      </c>
      <c r="D57" s="87"/>
      <c r="E57" s="88" t="s">
        <v>90</v>
      </c>
      <c r="F57" s="88"/>
      <c r="G57" s="52">
        <v>2</v>
      </c>
      <c r="H57" s="52">
        <v>2</v>
      </c>
      <c r="I57" s="52">
        <v>2</v>
      </c>
      <c r="J57" s="52">
        <v>2</v>
      </c>
      <c r="K57" s="52">
        <v>2</v>
      </c>
      <c r="L57" s="52">
        <v>2</v>
      </c>
      <c r="M57" s="52">
        <v>2</v>
      </c>
      <c r="N57" s="52">
        <v>2</v>
      </c>
      <c r="O57" s="52">
        <v>2</v>
      </c>
      <c r="P57" s="52">
        <v>2</v>
      </c>
      <c r="Q57" s="52">
        <v>2</v>
      </c>
      <c r="R57" s="52">
        <v>2</v>
      </c>
      <c r="S57" s="52">
        <v>2</v>
      </c>
      <c r="T57" s="52">
        <v>2</v>
      </c>
      <c r="U57" s="52">
        <v>2</v>
      </c>
      <c r="V57" s="52">
        <v>2</v>
      </c>
      <c r="W57" s="53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52">
        <v>0</v>
      </c>
    </row>
    <row r="58" spans="1:33" ht="16.8" x14ac:dyDescent="0.3">
      <c r="A58" s="86"/>
      <c r="B58" s="86"/>
      <c r="C58" s="87" t="s">
        <v>163</v>
      </c>
      <c r="D58" s="87"/>
      <c r="E58" s="88" t="s">
        <v>89</v>
      </c>
      <c r="F58" s="88"/>
      <c r="G58" s="52">
        <v>2</v>
      </c>
      <c r="H58" s="52">
        <v>2</v>
      </c>
      <c r="I58" s="52">
        <v>2</v>
      </c>
      <c r="J58" s="52">
        <v>2</v>
      </c>
      <c r="K58" s="52">
        <v>2</v>
      </c>
      <c r="L58" s="52">
        <v>2</v>
      </c>
      <c r="M58" s="52">
        <v>2</v>
      </c>
      <c r="N58" s="52">
        <v>2</v>
      </c>
      <c r="O58" s="52">
        <v>2</v>
      </c>
      <c r="P58" s="52">
        <v>2</v>
      </c>
      <c r="Q58" s="52">
        <v>2</v>
      </c>
      <c r="R58" s="52">
        <v>2</v>
      </c>
      <c r="S58" s="52">
        <v>2</v>
      </c>
      <c r="T58" s="52">
        <v>2</v>
      </c>
      <c r="U58" s="52">
        <v>2</v>
      </c>
      <c r="V58" s="52">
        <v>2</v>
      </c>
      <c r="W58" s="53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52">
        <v>0</v>
      </c>
    </row>
    <row r="59" spans="1:33" ht="16.8" x14ac:dyDescent="0.3">
      <c r="A59" s="86"/>
      <c r="B59" s="86"/>
      <c r="C59" s="87" t="s">
        <v>164</v>
      </c>
      <c r="D59" s="87"/>
      <c r="E59" s="88" t="s">
        <v>90</v>
      </c>
      <c r="F59" s="88"/>
      <c r="G59" s="52">
        <v>3</v>
      </c>
      <c r="H59" s="52">
        <v>3</v>
      </c>
      <c r="I59" s="52">
        <v>3</v>
      </c>
      <c r="J59" s="52">
        <v>3</v>
      </c>
      <c r="K59" s="52">
        <v>3</v>
      </c>
      <c r="L59" s="52">
        <v>3</v>
      </c>
      <c r="M59" s="52">
        <v>3</v>
      </c>
      <c r="N59" s="52">
        <v>3</v>
      </c>
      <c r="O59" s="52">
        <v>3</v>
      </c>
      <c r="P59" s="52">
        <v>3</v>
      </c>
      <c r="Q59" s="52">
        <v>3</v>
      </c>
      <c r="R59" s="52">
        <v>3</v>
      </c>
      <c r="S59" s="52">
        <v>3</v>
      </c>
      <c r="T59" s="52">
        <v>3</v>
      </c>
      <c r="U59" s="52">
        <v>3</v>
      </c>
      <c r="V59" s="52">
        <v>3</v>
      </c>
      <c r="W59" s="52">
        <v>2</v>
      </c>
      <c r="X59" s="53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52">
        <v>0</v>
      </c>
    </row>
    <row r="60" spans="1:33" ht="16.8" x14ac:dyDescent="0.3">
      <c r="A60" s="86"/>
      <c r="B60" s="86"/>
      <c r="C60" s="87" t="s">
        <v>165</v>
      </c>
      <c r="D60" s="87"/>
      <c r="E60" s="88" t="s">
        <v>85</v>
      </c>
      <c r="F60" s="88"/>
      <c r="G60" s="52">
        <v>3</v>
      </c>
      <c r="H60" s="52">
        <v>3</v>
      </c>
      <c r="I60" s="52">
        <v>3</v>
      </c>
      <c r="J60" s="52">
        <v>3</v>
      </c>
      <c r="K60" s="52">
        <v>3</v>
      </c>
      <c r="L60" s="52">
        <v>3</v>
      </c>
      <c r="M60" s="52">
        <v>3</v>
      </c>
      <c r="N60" s="52">
        <v>3</v>
      </c>
      <c r="O60" s="52">
        <v>3</v>
      </c>
      <c r="P60" s="52">
        <v>3</v>
      </c>
      <c r="Q60" s="52">
        <v>3</v>
      </c>
      <c r="R60" s="52">
        <v>3</v>
      </c>
      <c r="S60" s="52">
        <v>3</v>
      </c>
      <c r="T60" s="52">
        <v>3</v>
      </c>
      <c r="U60" s="52">
        <v>3</v>
      </c>
      <c r="V60" s="52">
        <v>3</v>
      </c>
      <c r="W60" s="52">
        <v>2</v>
      </c>
      <c r="X60" s="53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2">
        <v>0</v>
      </c>
      <c r="AG60" s="52">
        <v>0</v>
      </c>
    </row>
    <row r="61" spans="1:33" ht="16.8" x14ac:dyDescent="0.3">
      <c r="A61" s="86"/>
      <c r="B61" s="86"/>
      <c r="C61" s="87" t="s">
        <v>166</v>
      </c>
      <c r="D61" s="87"/>
      <c r="E61" s="88" t="s">
        <v>90</v>
      </c>
      <c r="F61" s="88"/>
      <c r="G61" s="52">
        <v>2</v>
      </c>
      <c r="H61" s="52">
        <v>2</v>
      </c>
      <c r="I61" s="52">
        <v>2</v>
      </c>
      <c r="J61" s="52">
        <v>2</v>
      </c>
      <c r="K61" s="52">
        <v>2</v>
      </c>
      <c r="L61" s="52">
        <v>2</v>
      </c>
      <c r="M61" s="52">
        <v>2</v>
      </c>
      <c r="N61" s="52">
        <v>2</v>
      </c>
      <c r="O61" s="52">
        <v>2</v>
      </c>
      <c r="P61" s="52">
        <v>2</v>
      </c>
      <c r="Q61" s="52">
        <v>2</v>
      </c>
      <c r="R61" s="52">
        <v>2</v>
      </c>
      <c r="S61" s="52">
        <v>2</v>
      </c>
      <c r="T61" s="52">
        <v>2</v>
      </c>
      <c r="U61" s="52">
        <v>2</v>
      </c>
      <c r="V61" s="52">
        <v>2</v>
      </c>
      <c r="W61" s="52">
        <v>2</v>
      </c>
      <c r="X61" s="53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52">
        <v>0</v>
      </c>
    </row>
    <row r="62" spans="1:33" ht="16.8" x14ac:dyDescent="0.3">
      <c r="A62" s="86"/>
      <c r="B62" s="86"/>
      <c r="C62" s="87" t="s">
        <v>167</v>
      </c>
      <c r="D62" s="87"/>
      <c r="E62" s="88" t="s">
        <v>85</v>
      </c>
      <c r="F62" s="88"/>
      <c r="G62" s="52">
        <v>2</v>
      </c>
      <c r="H62" s="52">
        <v>2</v>
      </c>
      <c r="I62" s="52">
        <v>2</v>
      </c>
      <c r="J62" s="52">
        <v>2</v>
      </c>
      <c r="K62" s="52">
        <v>2</v>
      </c>
      <c r="L62" s="52">
        <v>2</v>
      </c>
      <c r="M62" s="52">
        <v>2</v>
      </c>
      <c r="N62" s="52">
        <v>2</v>
      </c>
      <c r="O62" s="52">
        <v>2</v>
      </c>
      <c r="P62" s="52">
        <v>2</v>
      </c>
      <c r="Q62" s="52">
        <v>2</v>
      </c>
      <c r="R62" s="52">
        <v>2</v>
      </c>
      <c r="S62" s="52">
        <v>2</v>
      </c>
      <c r="T62" s="52">
        <v>2</v>
      </c>
      <c r="U62" s="52">
        <v>2</v>
      </c>
      <c r="V62" s="52">
        <v>2</v>
      </c>
      <c r="W62" s="52">
        <v>2</v>
      </c>
      <c r="X62" s="53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2">
        <v>0</v>
      </c>
      <c r="AG62" s="52">
        <v>0</v>
      </c>
    </row>
    <row r="63" spans="1:33" ht="16.8" x14ac:dyDescent="0.3">
      <c r="A63" s="86"/>
      <c r="B63" s="86"/>
      <c r="C63" s="87" t="s">
        <v>168</v>
      </c>
      <c r="D63" s="87"/>
      <c r="E63" s="88" t="s">
        <v>90</v>
      </c>
      <c r="F63" s="88"/>
      <c r="G63" s="52">
        <v>2</v>
      </c>
      <c r="H63" s="52">
        <v>2</v>
      </c>
      <c r="I63" s="52">
        <v>2</v>
      </c>
      <c r="J63" s="52">
        <v>2</v>
      </c>
      <c r="K63" s="52">
        <v>2</v>
      </c>
      <c r="L63" s="52">
        <v>2</v>
      </c>
      <c r="M63" s="52">
        <v>2</v>
      </c>
      <c r="N63" s="52">
        <v>2</v>
      </c>
      <c r="O63" s="52">
        <v>2</v>
      </c>
      <c r="P63" s="52">
        <v>2</v>
      </c>
      <c r="Q63" s="52">
        <v>2</v>
      </c>
      <c r="R63" s="52">
        <v>2</v>
      </c>
      <c r="S63" s="52">
        <v>2</v>
      </c>
      <c r="T63" s="52">
        <v>2</v>
      </c>
      <c r="U63" s="52">
        <v>2</v>
      </c>
      <c r="V63" s="52">
        <v>2</v>
      </c>
      <c r="W63" s="52">
        <v>2</v>
      </c>
      <c r="X63" s="53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</row>
    <row r="64" spans="1:33" ht="16.8" x14ac:dyDescent="0.3">
      <c r="A64" s="86"/>
      <c r="B64" s="86"/>
      <c r="C64" s="87" t="s">
        <v>27</v>
      </c>
      <c r="D64" s="87"/>
      <c r="E64" s="88" t="s">
        <v>169</v>
      </c>
      <c r="F64" s="88"/>
      <c r="G64" s="52">
        <v>10</v>
      </c>
      <c r="H64" s="52">
        <v>10</v>
      </c>
      <c r="I64" s="52">
        <v>10</v>
      </c>
      <c r="J64" s="52">
        <v>10</v>
      </c>
      <c r="K64" s="52">
        <v>10</v>
      </c>
      <c r="L64" s="52">
        <v>10</v>
      </c>
      <c r="M64" s="52">
        <v>10</v>
      </c>
      <c r="N64" s="52">
        <v>10</v>
      </c>
      <c r="O64" s="52">
        <v>10</v>
      </c>
      <c r="P64" s="52">
        <v>10</v>
      </c>
      <c r="Q64" s="52">
        <v>10</v>
      </c>
      <c r="R64" s="52">
        <v>10</v>
      </c>
      <c r="S64" s="52">
        <v>10</v>
      </c>
      <c r="T64" s="52">
        <v>10</v>
      </c>
      <c r="U64" s="52">
        <v>10</v>
      </c>
      <c r="V64" s="52">
        <v>10</v>
      </c>
      <c r="W64" s="52">
        <v>10</v>
      </c>
      <c r="X64" s="52">
        <v>10</v>
      </c>
      <c r="Y64" s="53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52">
        <v>0</v>
      </c>
    </row>
    <row r="65" spans="1:33" ht="16.8" x14ac:dyDescent="0.3">
      <c r="A65" s="86"/>
      <c r="B65" s="86" t="s">
        <v>31</v>
      </c>
      <c r="C65" s="87" t="s">
        <v>170</v>
      </c>
      <c r="D65" s="87"/>
      <c r="E65" s="88" t="s">
        <v>83</v>
      </c>
      <c r="F65" s="88"/>
      <c r="G65" s="52">
        <v>1</v>
      </c>
      <c r="H65" s="52">
        <v>1</v>
      </c>
      <c r="I65" s="52">
        <v>1</v>
      </c>
      <c r="J65" s="52">
        <v>1</v>
      </c>
      <c r="K65" s="52">
        <v>1</v>
      </c>
      <c r="L65" s="52">
        <v>1</v>
      </c>
      <c r="M65" s="52">
        <v>1</v>
      </c>
      <c r="N65" s="52">
        <v>1</v>
      </c>
      <c r="O65" s="52">
        <v>1</v>
      </c>
      <c r="P65" s="52">
        <v>1</v>
      </c>
      <c r="Q65" s="52">
        <v>1</v>
      </c>
      <c r="R65" s="52">
        <v>1</v>
      </c>
      <c r="S65" s="52">
        <v>1</v>
      </c>
      <c r="T65" s="52">
        <v>1</v>
      </c>
      <c r="U65" s="52">
        <v>1</v>
      </c>
      <c r="V65" s="52">
        <v>1</v>
      </c>
      <c r="W65" s="52">
        <v>1</v>
      </c>
      <c r="X65" s="52">
        <v>1</v>
      </c>
      <c r="Y65" s="52">
        <v>1</v>
      </c>
      <c r="Z65" s="53">
        <v>0</v>
      </c>
      <c r="AA65" s="52">
        <v>0</v>
      </c>
      <c r="AB65" s="52">
        <v>0</v>
      </c>
      <c r="AC65" s="52">
        <v>0</v>
      </c>
      <c r="AD65" s="52">
        <v>2</v>
      </c>
      <c r="AE65" s="52">
        <v>0</v>
      </c>
      <c r="AF65" s="52">
        <v>0</v>
      </c>
      <c r="AG65" s="52">
        <v>0</v>
      </c>
    </row>
    <row r="66" spans="1:33" ht="16.8" x14ac:dyDescent="0.3">
      <c r="A66" s="86"/>
      <c r="B66" s="86"/>
      <c r="C66" s="87" t="s">
        <v>171</v>
      </c>
      <c r="D66" s="87"/>
      <c r="E66" s="88" t="s">
        <v>85</v>
      </c>
      <c r="F66" s="88"/>
      <c r="G66" s="52">
        <v>1</v>
      </c>
      <c r="H66" s="52">
        <v>1</v>
      </c>
      <c r="I66" s="52">
        <v>1</v>
      </c>
      <c r="J66" s="52">
        <v>1</v>
      </c>
      <c r="K66" s="52">
        <v>1</v>
      </c>
      <c r="L66" s="52">
        <v>1</v>
      </c>
      <c r="M66" s="52">
        <v>1</v>
      </c>
      <c r="N66" s="52">
        <v>1</v>
      </c>
      <c r="O66" s="52">
        <v>1</v>
      </c>
      <c r="P66" s="52">
        <v>1</v>
      </c>
      <c r="Q66" s="52">
        <v>1</v>
      </c>
      <c r="R66" s="52">
        <v>1</v>
      </c>
      <c r="S66" s="52">
        <v>1</v>
      </c>
      <c r="T66" s="52">
        <v>1</v>
      </c>
      <c r="U66" s="52">
        <v>1</v>
      </c>
      <c r="V66" s="52">
        <v>1</v>
      </c>
      <c r="W66" s="52">
        <v>1</v>
      </c>
      <c r="X66" s="52">
        <v>1</v>
      </c>
      <c r="Y66" s="52">
        <v>1</v>
      </c>
      <c r="Z66" s="53">
        <v>0</v>
      </c>
      <c r="AA66" s="52">
        <v>0</v>
      </c>
      <c r="AB66" s="52">
        <v>0</v>
      </c>
      <c r="AC66" s="52">
        <v>0</v>
      </c>
      <c r="AD66" s="52">
        <v>2</v>
      </c>
      <c r="AE66" s="52">
        <v>0</v>
      </c>
      <c r="AF66" s="52">
        <v>0</v>
      </c>
      <c r="AG66" s="52">
        <v>0</v>
      </c>
    </row>
    <row r="67" spans="1:33" ht="16.8" x14ac:dyDescent="0.3">
      <c r="A67" s="86"/>
      <c r="B67" s="86"/>
      <c r="C67" s="91" t="s">
        <v>172</v>
      </c>
      <c r="D67" s="92"/>
      <c r="E67" s="88" t="s">
        <v>83</v>
      </c>
      <c r="F67" s="88"/>
      <c r="G67" s="52">
        <v>1</v>
      </c>
      <c r="H67" s="52">
        <v>1</v>
      </c>
      <c r="I67" s="52">
        <v>1</v>
      </c>
      <c r="J67" s="52">
        <v>1</v>
      </c>
      <c r="K67" s="52">
        <v>1</v>
      </c>
      <c r="L67" s="52">
        <v>1</v>
      </c>
      <c r="M67" s="52">
        <v>1</v>
      </c>
      <c r="N67" s="52">
        <v>1</v>
      </c>
      <c r="O67" s="52">
        <v>1</v>
      </c>
      <c r="P67" s="52">
        <v>1</v>
      </c>
      <c r="Q67" s="52">
        <v>1</v>
      </c>
      <c r="R67" s="52">
        <v>1</v>
      </c>
      <c r="S67" s="52">
        <v>1</v>
      </c>
      <c r="T67" s="52">
        <v>1</v>
      </c>
      <c r="U67" s="52">
        <v>1</v>
      </c>
      <c r="V67" s="52">
        <v>1</v>
      </c>
      <c r="W67" s="52">
        <v>1</v>
      </c>
      <c r="X67" s="52">
        <v>1</v>
      </c>
      <c r="Y67" s="52">
        <v>1</v>
      </c>
      <c r="Z67" s="53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2">
        <v>0</v>
      </c>
      <c r="AG67" s="52">
        <v>0</v>
      </c>
    </row>
    <row r="68" spans="1:33" ht="16.8" x14ac:dyDescent="0.3">
      <c r="A68" s="86"/>
      <c r="B68" s="86"/>
      <c r="C68" s="87" t="s">
        <v>173</v>
      </c>
      <c r="D68" s="87"/>
      <c r="E68" s="88" t="s">
        <v>90</v>
      </c>
      <c r="F68" s="88"/>
      <c r="G68" s="52">
        <v>1</v>
      </c>
      <c r="H68" s="52">
        <v>1</v>
      </c>
      <c r="I68" s="52">
        <v>1</v>
      </c>
      <c r="J68" s="52">
        <v>1</v>
      </c>
      <c r="K68" s="52">
        <v>1</v>
      </c>
      <c r="L68" s="52">
        <v>1</v>
      </c>
      <c r="M68" s="52">
        <v>1</v>
      </c>
      <c r="N68" s="52">
        <v>1</v>
      </c>
      <c r="O68" s="52">
        <v>1</v>
      </c>
      <c r="P68" s="52">
        <v>1</v>
      </c>
      <c r="Q68" s="52">
        <v>1</v>
      </c>
      <c r="R68" s="52">
        <v>1</v>
      </c>
      <c r="S68" s="52">
        <v>1</v>
      </c>
      <c r="T68" s="52">
        <v>1</v>
      </c>
      <c r="U68" s="52">
        <v>1</v>
      </c>
      <c r="V68" s="52">
        <v>1</v>
      </c>
      <c r="W68" s="52">
        <v>1</v>
      </c>
      <c r="X68" s="52">
        <v>1</v>
      </c>
      <c r="Y68" s="52">
        <v>1</v>
      </c>
      <c r="Z68" s="53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2">
        <v>0</v>
      </c>
      <c r="AG68" s="52">
        <v>0</v>
      </c>
    </row>
    <row r="69" spans="1:33" ht="16.8" x14ac:dyDescent="0.3">
      <c r="A69" s="86"/>
      <c r="B69" s="86"/>
      <c r="C69" s="87" t="s">
        <v>174</v>
      </c>
      <c r="D69" s="87"/>
      <c r="E69" s="88" t="s">
        <v>90</v>
      </c>
      <c r="F69" s="88"/>
      <c r="G69" s="52">
        <v>1</v>
      </c>
      <c r="H69" s="52">
        <v>1</v>
      </c>
      <c r="I69" s="52">
        <v>1</v>
      </c>
      <c r="J69" s="52">
        <v>1</v>
      </c>
      <c r="K69" s="52">
        <v>1</v>
      </c>
      <c r="L69" s="52">
        <v>1</v>
      </c>
      <c r="M69" s="52">
        <v>1</v>
      </c>
      <c r="N69" s="52">
        <v>1</v>
      </c>
      <c r="O69" s="52">
        <v>1</v>
      </c>
      <c r="P69" s="52">
        <v>1</v>
      </c>
      <c r="Q69" s="52">
        <v>1</v>
      </c>
      <c r="R69" s="52">
        <v>1</v>
      </c>
      <c r="S69" s="52">
        <v>1</v>
      </c>
      <c r="T69" s="52">
        <v>1</v>
      </c>
      <c r="U69" s="52">
        <v>1</v>
      </c>
      <c r="V69" s="52">
        <v>1</v>
      </c>
      <c r="W69" s="52">
        <v>1</v>
      </c>
      <c r="X69" s="52">
        <v>1</v>
      </c>
      <c r="Y69" s="52">
        <v>1</v>
      </c>
      <c r="Z69" s="53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2">
        <v>0</v>
      </c>
      <c r="AG69" s="52">
        <v>0</v>
      </c>
    </row>
    <row r="70" spans="1:33" ht="16.8" x14ac:dyDescent="0.3">
      <c r="A70" s="86"/>
      <c r="B70" s="86"/>
      <c r="C70" s="87" t="s">
        <v>175</v>
      </c>
      <c r="D70" s="87"/>
      <c r="E70" s="88" t="s">
        <v>89</v>
      </c>
      <c r="F70" s="88"/>
      <c r="G70" s="52">
        <v>1</v>
      </c>
      <c r="H70" s="52">
        <v>1</v>
      </c>
      <c r="I70" s="52">
        <v>1</v>
      </c>
      <c r="J70" s="52">
        <v>1</v>
      </c>
      <c r="K70" s="52">
        <v>1</v>
      </c>
      <c r="L70" s="52">
        <v>1</v>
      </c>
      <c r="M70" s="52">
        <v>1</v>
      </c>
      <c r="N70" s="52">
        <v>1</v>
      </c>
      <c r="O70" s="52">
        <v>1</v>
      </c>
      <c r="P70" s="52">
        <v>1</v>
      </c>
      <c r="Q70" s="52">
        <v>1</v>
      </c>
      <c r="R70" s="52">
        <v>1</v>
      </c>
      <c r="S70" s="52">
        <v>1</v>
      </c>
      <c r="T70" s="52">
        <v>1</v>
      </c>
      <c r="U70" s="52">
        <v>1</v>
      </c>
      <c r="V70" s="52">
        <v>1</v>
      </c>
      <c r="W70" s="52">
        <v>1</v>
      </c>
      <c r="X70" s="52">
        <v>1</v>
      </c>
      <c r="Y70" s="52">
        <v>1</v>
      </c>
      <c r="Z70" s="53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2">
        <v>0</v>
      </c>
      <c r="AG70" s="52">
        <v>0</v>
      </c>
    </row>
    <row r="71" spans="1:33" ht="16.8" x14ac:dyDescent="0.3">
      <c r="A71" s="86"/>
      <c r="B71" s="86"/>
      <c r="C71" s="87" t="s">
        <v>176</v>
      </c>
      <c r="D71" s="87"/>
      <c r="E71" s="89" t="s">
        <v>88</v>
      </c>
      <c r="F71" s="90"/>
      <c r="G71" s="52">
        <v>3</v>
      </c>
      <c r="H71" s="52">
        <v>1</v>
      </c>
      <c r="I71" s="52">
        <v>1</v>
      </c>
      <c r="J71" s="52">
        <v>1</v>
      </c>
      <c r="K71" s="52">
        <v>1</v>
      </c>
      <c r="L71" s="52">
        <v>1</v>
      </c>
      <c r="M71" s="52">
        <v>1</v>
      </c>
      <c r="N71" s="52">
        <v>1</v>
      </c>
      <c r="O71" s="52">
        <v>1</v>
      </c>
      <c r="P71" s="52">
        <v>1</v>
      </c>
      <c r="Q71" s="52">
        <v>1</v>
      </c>
      <c r="R71" s="52">
        <v>1</v>
      </c>
      <c r="S71" s="52">
        <v>1</v>
      </c>
      <c r="T71" s="52">
        <v>1</v>
      </c>
      <c r="U71" s="52">
        <v>1</v>
      </c>
      <c r="V71" s="52">
        <v>1</v>
      </c>
      <c r="W71" s="52">
        <v>1</v>
      </c>
      <c r="X71" s="52">
        <v>1</v>
      </c>
      <c r="Y71" s="52">
        <v>1</v>
      </c>
      <c r="Z71" s="53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2">
        <v>0</v>
      </c>
      <c r="AG71" s="52">
        <v>0</v>
      </c>
    </row>
    <row r="72" spans="1:33" ht="16.8" x14ac:dyDescent="0.3">
      <c r="A72" s="86"/>
      <c r="B72" s="86"/>
      <c r="C72" s="89"/>
      <c r="D72" s="90"/>
      <c r="E72" s="89"/>
      <c r="F72" s="90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5">
        <v>2</v>
      </c>
      <c r="AA72" s="52"/>
      <c r="AB72" s="52"/>
      <c r="AC72" s="52"/>
      <c r="AD72" s="52"/>
      <c r="AE72" s="52"/>
      <c r="AF72" s="52"/>
      <c r="AG72" s="52"/>
    </row>
    <row r="73" spans="1:33" ht="16.8" x14ac:dyDescent="0.3">
      <c r="A73" s="86"/>
      <c r="B73" s="86"/>
      <c r="C73" s="87" t="s">
        <v>177</v>
      </c>
      <c r="D73" s="87"/>
      <c r="E73" s="89" t="s">
        <v>85</v>
      </c>
      <c r="F73" s="90"/>
      <c r="G73" s="52">
        <v>1</v>
      </c>
      <c r="H73" s="52">
        <v>1</v>
      </c>
      <c r="I73" s="52">
        <v>1</v>
      </c>
      <c r="J73" s="52">
        <v>1</v>
      </c>
      <c r="K73" s="52">
        <v>1</v>
      </c>
      <c r="L73" s="52">
        <v>1</v>
      </c>
      <c r="M73" s="52">
        <v>1</v>
      </c>
      <c r="N73" s="52">
        <v>1</v>
      </c>
      <c r="O73" s="52">
        <v>1</v>
      </c>
      <c r="P73" s="52">
        <v>1</v>
      </c>
      <c r="Q73" s="52">
        <v>1</v>
      </c>
      <c r="R73" s="52">
        <v>1</v>
      </c>
      <c r="S73" s="52">
        <v>1</v>
      </c>
      <c r="T73" s="52">
        <v>1</v>
      </c>
      <c r="U73" s="52">
        <v>1</v>
      </c>
      <c r="V73" s="52">
        <v>1</v>
      </c>
      <c r="W73" s="52">
        <v>1</v>
      </c>
      <c r="X73" s="52">
        <v>1</v>
      </c>
      <c r="Y73" s="52">
        <v>1</v>
      </c>
      <c r="Z73" s="53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2">
        <v>0</v>
      </c>
      <c r="AG73" s="52">
        <v>0</v>
      </c>
    </row>
    <row r="74" spans="1:33" ht="16.8" x14ac:dyDescent="0.3">
      <c r="A74" s="86"/>
      <c r="B74" s="86"/>
      <c r="C74" s="87"/>
      <c r="D74" s="87"/>
      <c r="E74" s="88"/>
      <c r="F74" s="88"/>
      <c r="G74" s="52">
        <v>1</v>
      </c>
      <c r="H74" s="52">
        <v>1</v>
      </c>
      <c r="I74" s="52">
        <v>1</v>
      </c>
      <c r="J74" s="52">
        <v>1</v>
      </c>
      <c r="K74" s="52">
        <v>1</v>
      </c>
      <c r="L74" s="52">
        <v>1</v>
      </c>
      <c r="M74" s="52">
        <v>1</v>
      </c>
      <c r="N74" s="52">
        <v>1</v>
      </c>
      <c r="O74" s="52">
        <v>1</v>
      </c>
      <c r="P74" s="52">
        <v>1</v>
      </c>
      <c r="Q74" s="52">
        <v>1</v>
      </c>
      <c r="R74" s="52">
        <v>1</v>
      </c>
      <c r="S74" s="52">
        <v>1</v>
      </c>
      <c r="T74" s="52">
        <v>1</v>
      </c>
      <c r="U74" s="52">
        <v>1</v>
      </c>
      <c r="V74" s="52">
        <v>1</v>
      </c>
      <c r="W74" s="52">
        <v>1</v>
      </c>
      <c r="X74" s="52">
        <v>1</v>
      </c>
      <c r="Y74" s="52">
        <v>1</v>
      </c>
      <c r="Z74" s="53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</row>
    <row r="75" spans="1:33" ht="16.8" x14ac:dyDescent="0.3">
      <c r="A75" s="86"/>
      <c r="B75" s="86" t="s">
        <v>34</v>
      </c>
      <c r="C75" s="87" t="s">
        <v>178</v>
      </c>
      <c r="D75" s="87"/>
      <c r="E75" s="88" t="s">
        <v>48</v>
      </c>
      <c r="F75" s="88"/>
      <c r="G75" s="52">
        <v>1</v>
      </c>
      <c r="H75" s="52">
        <v>1</v>
      </c>
      <c r="I75" s="52">
        <v>1</v>
      </c>
      <c r="J75" s="52">
        <v>1</v>
      </c>
      <c r="K75" s="52">
        <v>1</v>
      </c>
      <c r="L75" s="52">
        <v>1</v>
      </c>
      <c r="M75" s="52">
        <v>1</v>
      </c>
      <c r="N75" s="52">
        <v>1</v>
      </c>
      <c r="O75" s="52">
        <v>1</v>
      </c>
      <c r="P75" s="52">
        <v>1</v>
      </c>
      <c r="Q75" s="52">
        <v>1</v>
      </c>
      <c r="R75" s="52">
        <v>1</v>
      </c>
      <c r="S75" s="52">
        <v>1</v>
      </c>
      <c r="T75" s="52">
        <v>1</v>
      </c>
      <c r="U75" s="52">
        <v>1</v>
      </c>
      <c r="V75" s="52">
        <v>1</v>
      </c>
      <c r="W75" s="52">
        <v>1</v>
      </c>
      <c r="X75" s="52">
        <v>1</v>
      </c>
      <c r="Y75" s="52">
        <v>1</v>
      </c>
      <c r="Z75" s="52">
        <v>1</v>
      </c>
      <c r="AA75" s="53">
        <v>0</v>
      </c>
      <c r="AB75" s="52">
        <v>0</v>
      </c>
      <c r="AC75" s="52">
        <v>0</v>
      </c>
      <c r="AD75" s="52">
        <v>0</v>
      </c>
      <c r="AE75" s="52">
        <v>0</v>
      </c>
      <c r="AF75" s="52">
        <v>0</v>
      </c>
      <c r="AG75" s="52">
        <v>0</v>
      </c>
    </row>
    <row r="76" spans="1:33" ht="16.8" x14ac:dyDescent="0.3">
      <c r="A76" s="86"/>
      <c r="B76" s="86"/>
      <c r="C76" s="87" t="s">
        <v>179</v>
      </c>
      <c r="D76" s="87"/>
      <c r="E76" s="88" t="s">
        <v>48</v>
      </c>
      <c r="F76" s="88"/>
      <c r="G76" s="52">
        <v>2</v>
      </c>
      <c r="H76" s="52">
        <v>2</v>
      </c>
      <c r="I76" s="52">
        <v>2</v>
      </c>
      <c r="J76" s="52">
        <v>2</v>
      </c>
      <c r="K76" s="52">
        <v>2</v>
      </c>
      <c r="L76" s="52">
        <v>2</v>
      </c>
      <c r="M76" s="52">
        <v>2</v>
      </c>
      <c r="N76" s="52">
        <v>2</v>
      </c>
      <c r="O76" s="52">
        <v>2</v>
      </c>
      <c r="P76" s="52">
        <v>2</v>
      </c>
      <c r="Q76" s="52">
        <v>2</v>
      </c>
      <c r="R76" s="52">
        <v>2</v>
      </c>
      <c r="S76" s="52">
        <v>2</v>
      </c>
      <c r="T76" s="52">
        <v>2</v>
      </c>
      <c r="U76" s="52">
        <v>2</v>
      </c>
      <c r="V76" s="52">
        <v>2</v>
      </c>
      <c r="W76" s="52">
        <v>2</v>
      </c>
      <c r="X76" s="52">
        <v>2</v>
      </c>
      <c r="Y76" s="52">
        <v>2</v>
      </c>
      <c r="Z76" s="52">
        <v>2</v>
      </c>
      <c r="AA76" s="53">
        <v>0</v>
      </c>
      <c r="AB76" s="52">
        <v>0</v>
      </c>
      <c r="AC76" s="52">
        <v>0</v>
      </c>
      <c r="AD76" s="52">
        <v>0</v>
      </c>
      <c r="AE76" s="52">
        <v>0</v>
      </c>
      <c r="AF76" s="52">
        <v>0</v>
      </c>
      <c r="AG76" s="52">
        <v>0</v>
      </c>
    </row>
    <row r="77" spans="1:33" ht="16.8" x14ac:dyDescent="0.3">
      <c r="A77" s="86"/>
      <c r="B77" s="86"/>
      <c r="C77" s="87" t="s">
        <v>180</v>
      </c>
      <c r="D77" s="87"/>
      <c r="E77" s="88" t="s">
        <v>48</v>
      </c>
      <c r="F77" s="88"/>
      <c r="G77" s="52">
        <v>2</v>
      </c>
      <c r="H77" s="52">
        <v>2</v>
      </c>
      <c r="I77" s="52">
        <v>2</v>
      </c>
      <c r="J77" s="52">
        <v>2</v>
      </c>
      <c r="K77" s="52">
        <v>2</v>
      </c>
      <c r="L77" s="52">
        <v>2</v>
      </c>
      <c r="M77" s="52">
        <v>2</v>
      </c>
      <c r="N77" s="52">
        <v>2</v>
      </c>
      <c r="O77" s="52">
        <v>2</v>
      </c>
      <c r="P77" s="52">
        <v>2</v>
      </c>
      <c r="Q77" s="52">
        <v>2</v>
      </c>
      <c r="R77" s="52">
        <v>2</v>
      </c>
      <c r="S77" s="52">
        <v>2</v>
      </c>
      <c r="T77" s="52">
        <v>2</v>
      </c>
      <c r="U77" s="52">
        <v>2</v>
      </c>
      <c r="V77" s="52">
        <v>2</v>
      </c>
      <c r="W77" s="52">
        <v>2</v>
      </c>
      <c r="X77" s="52">
        <v>2</v>
      </c>
      <c r="Y77" s="52">
        <v>2</v>
      </c>
      <c r="Z77" s="52">
        <v>2</v>
      </c>
      <c r="AA77" s="53">
        <v>0</v>
      </c>
      <c r="AB77" s="52">
        <v>0</v>
      </c>
      <c r="AC77" s="52">
        <v>0</v>
      </c>
      <c r="AD77" s="52">
        <v>0</v>
      </c>
      <c r="AE77" s="52">
        <v>0</v>
      </c>
      <c r="AF77" s="52">
        <v>1</v>
      </c>
      <c r="AG77" s="52">
        <v>0</v>
      </c>
    </row>
    <row r="78" spans="1:33" ht="16.8" x14ac:dyDescent="0.3">
      <c r="A78" s="86"/>
      <c r="B78" s="86"/>
      <c r="C78" s="87" t="s">
        <v>181</v>
      </c>
      <c r="D78" s="87"/>
      <c r="E78" s="88" t="s">
        <v>48</v>
      </c>
      <c r="F78" s="88"/>
      <c r="G78" s="52">
        <v>1</v>
      </c>
      <c r="H78" s="52">
        <v>1</v>
      </c>
      <c r="I78" s="52">
        <v>1</v>
      </c>
      <c r="J78" s="52">
        <v>1</v>
      </c>
      <c r="K78" s="52">
        <v>1</v>
      </c>
      <c r="L78" s="52">
        <v>1</v>
      </c>
      <c r="M78" s="52">
        <v>1</v>
      </c>
      <c r="N78" s="52">
        <v>1</v>
      </c>
      <c r="O78" s="52">
        <v>1</v>
      </c>
      <c r="P78" s="52">
        <v>1</v>
      </c>
      <c r="Q78" s="52">
        <v>1</v>
      </c>
      <c r="R78" s="52">
        <v>1</v>
      </c>
      <c r="S78" s="52">
        <v>1</v>
      </c>
      <c r="T78" s="52">
        <v>1</v>
      </c>
      <c r="U78" s="52">
        <v>1</v>
      </c>
      <c r="V78" s="52">
        <v>1</v>
      </c>
      <c r="W78" s="52">
        <v>1</v>
      </c>
      <c r="X78" s="52">
        <v>1</v>
      </c>
      <c r="Y78" s="52">
        <v>1</v>
      </c>
      <c r="Z78" s="52">
        <v>1</v>
      </c>
      <c r="AA78" s="53">
        <v>0</v>
      </c>
      <c r="AB78" s="52">
        <v>0</v>
      </c>
      <c r="AC78" s="52">
        <v>0</v>
      </c>
      <c r="AD78" s="52">
        <v>0</v>
      </c>
      <c r="AE78" s="52">
        <v>0</v>
      </c>
      <c r="AF78" s="52">
        <v>0</v>
      </c>
      <c r="AG78" s="52">
        <v>0</v>
      </c>
    </row>
    <row r="79" spans="1:33" ht="16.8" x14ac:dyDescent="0.3">
      <c r="A79" s="86"/>
      <c r="B79" s="86"/>
      <c r="C79" s="87" t="s">
        <v>182</v>
      </c>
      <c r="D79" s="87"/>
      <c r="E79" s="88" t="s">
        <v>48</v>
      </c>
      <c r="F79" s="88"/>
      <c r="G79" s="52">
        <v>1</v>
      </c>
      <c r="H79" s="52">
        <v>1</v>
      </c>
      <c r="I79" s="52">
        <v>1</v>
      </c>
      <c r="J79" s="52">
        <v>1</v>
      </c>
      <c r="K79" s="52">
        <v>1</v>
      </c>
      <c r="L79" s="52">
        <v>1</v>
      </c>
      <c r="M79" s="52">
        <v>1</v>
      </c>
      <c r="N79" s="52">
        <v>1</v>
      </c>
      <c r="O79" s="52">
        <v>1</v>
      </c>
      <c r="P79" s="52">
        <v>1</v>
      </c>
      <c r="Q79" s="52">
        <v>1</v>
      </c>
      <c r="R79" s="52">
        <v>1</v>
      </c>
      <c r="S79" s="52">
        <v>1</v>
      </c>
      <c r="T79" s="52">
        <v>1</v>
      </c>
      <c r="U79" s="52">
        <v>1</v>
      </c>
      <c r="V79" s="52">
        <v>1</v>
      </c>
      <c r="W79" s="52">
        <v>1</v>
      </c>
      <c r="X79" s="52">
        <v>1</v>
      </c>
      <c r="Y79" s="52">
        <v>1</v>
      </c>
      <c r="Z79" s="52">
        <v>1</v>
      </c>
      <c r="AA79" s="53">
        <v>0</v>
      </c>
      <c r="AB79" s="52">
        <v>0</v>
      </c>
      <c r="AC79" s="52">
        <v>0</v>
      </c>
      <c r="AD79" s="52">
        <v>0</v>
      </c>
      <c r="AE79" s="52">
        <v>0</v>
      </c>
      <c r="AF79" s="52">
        <v>2</v>
      </c>
      <c r="AG79" s="52">
        <v>0</v>
      </c>
    </row>
    <row r="80" spans="1:33" ht="16.8" x14ac:dyDescent="0.3">
      <c r="A80" s="86"/>
      <c r="B80" s="86"/>
      <c r="C80" s="87" t="s">
        <v>183</v>
      </c>
      <c r="D80" s="87"/>
      <c r="E80" s="88" t="s">
        <v>48</v>
      </c>
      <c r="F80" s="88"/>
      <c r="G80" s="52">
        <v>1</v>
      </c>
      <c r="H80" s="52">
        <v>1</v>
      </c>
      <c r="I80" s="52">
        <v>1</v>
      </c>
      <c r="J80" s="52">
        <v>1</v>
      </c>
      <c r="K80" s="52">
        <v>1</v>
      </c>
      <c r="L80" s="52">
        <v>1</v>
      </c>
      <c r="M80" s="52">
        <v>1</v>
      </c>
      <c r="N80" s="52">
        <v>1</v>
      </c>
      <c r="O80" s="52">
        <v>1</v>
      </c>
      <c r="P80" s="52">
        <v>1</v>
      </c>
      <c r="Q80" s="52">
        <v>1</v>
      </c>
      <c r="R80" s="52">
        <v>1</v>
      </c>
      <c r="S80" s="52">
        <v>1</v>
      </c>
      <c r="T80" s="52">
        <v>1</v>
      </c>
      <c r="U80" s="52">
        <v>1</v>
      </c>
      <c r="V80" s="52">
        <v>1</v>
      </c>
      <c r="W80" s="52">
        <v>1</v>
      </c>
      <c r="X80" s="52">
        <v>1</v>
      </c>
      <c r="Y80" s="52">
        <v>1</v>
      </c>
      <c r="Z80" s="52">
        <v>1</v>
      </c>
      <c r="AA80" s="52">
        <v>1</v>
      </c>
      <c r="AB80" s="53">
        <v>0</v>
      </c>
      <c r="AC80" s="52">
        <v>0</v>
      </c>
      <c r="AD80" s="52">
        <v>2</v>
      </c>
      <c r="AE80" s="52">
        <v>0</v>
      </c>
      <c r="AF80" s="52">
        <v>0</v>
      </c>
      <c r="AG80" s="52">
        <v>0</v>
      </c>
    </row>
    <row r="81" spans="1:33" ht="16.8" x14ac:dyDescent="0.3">
      <c r="A81" s="86"/>
      <c r="B81" s="86"/>
      <c r="C81" s="87" t="s">
        <v>184</v>
      </c>
      <c r="D81" s="87"/>
      <c r="E81" s="88" t="s">
        <v>48</v>
      </c>
      <c r="F81" s="88"/>
      <c r="G81" s="52">
        <v>1</v>
      </c>
      <c r="H81" s="52">
        <v>1</v>
      </c>
      <c r="I81" s="52">
        <v>1</v>
      </c>
      <c r="J81" s="52">
        <v>1</v>
      </c>
      <c r="K81" s="52">
        <v>1</v>
      </c>
      <c r="L81" s="52">
        <v>1</v>
      </c>
      <c r="M81" s="52">
        <v>1</v>
      </c>
      <c r="N81" s="52">
        <v>1</v>
      </c>
      <c r="O81" s="52">
        <v>1</v>
      </c>
      <c r="P81" s="52">
        <v>1</v>
      </c>
      <c r="Q81" s="52">
        <v>1</v>
      </c>
      <c r="R81" s="52">
        <v>1</v>
      </c>
      <c r="S81" s="52">
        <v>1</v>
      </c>
      <c r="T81" s="52">
        <v>1</v>
      </c>
      <c r="U81" s="52">
        <v>1</v>
      </c>
      <c r="V81" s="52">
        <v>1</v>
      </c>
      <c r="W81" s="52">
        <v>1</v>
      </c>
      <c r="X81" s="52">
        <v>1</v>
      </c>
      <c r="Y81" s="52">
        <v>1</v>
      </c>
      <c r="Z81" s="52">
        <v>1</v>
      </c>
      <c r="AA81" s="52">
        <v>1</v>
      </c>
      <c r="AB81" s="53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</row>
    <row r="82" spans="1:33" ht="16.8" x14ac:dyDescent="0.3">
      <c r="A82" s="86"/>
      <c r="B82" s="86"/>
      <c r="C82" s="87" t="s">
        <v>185</v>
      </c>
      <c r="D82" s="87"/>
      <c r="E82" s="88" t="s">
        <v>48</v>
      </c>
      <c r="F82" s="88"/>
      <c r="G82" s="52">
        <v>1</v>
      </c>
      <c r="H82" s="52">
        <v>2</v>
      </c>
      <c r="I82" s="52">
        <v>2</v>
      </c>
      <c r="J82" s="52">
        <v>2</v>
      </c>
      <c r="K82" s="52">
        <v>2</v>
      </c>
      <c r="L82" s="52">
        <v>2</v>
      </c>
      <c r="M82" s="52">
        <v>2</v>
      </c>
      <c r="N82" s="52">
        <v>2</v>
      </c>
      <c r="O82" s="52">
        <v>2</v>
      </c>
      <c r="P82" s="52">
        <v>2</v>
      </c>
      <c r="Q82" s="52">
        <v>2</v>
      </c>
      <c r="R82" s="52">
        <v>2</v>
      </c>
      <c r="S82" s="52">
        <v>2</v>
      </c>
      <c r="T82" s="52">
        <v>2</v>
      </c>
      <c r="U82" s="52">
        <v>2</v>
      </c>
      <c r="V82" s="52">
        <v>2</v>
      </c>
      <c r="W82" s="52">
        <v>2</v>
      </c>
      <c r="X82" s="52">
        <v>2</v>
      </c>
      <c r="Y82" s="52">
        <v>2</v>
      </c>
      <c r="Z82" s="52">
        <v>2</v>
      </c>
      <c r="AA82" s="52">
        <v>1</v>
      </c>
      <c r="AB82" s="53">
        <v>0</v>
      </c>
      <c r="AC82" s="52">
        <v>0</v>
      </c>
      <c r="AD82" s="52">
        <v>0</v>
      </c>
      <c r="AE82" s="52">
        <v>0</v>
      </c>
      <c r="AF82" s="52">
        <v>0</v>
      </c>
      <c r="AG82" s="52">
        <v>0</v>
      </c>
    </row>
    <row r="83" spans="1:33" ht="16.8" x14ac:dyDescent="0.3">
      <c r="A83" s="86"/>
      <c r="B83" s="86"/>
      <c r="C83" s="89"/>
      <c r="D83" s="90"/>
      <c r="E83" s="88"/>
      <c r="F83" s="88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5">
        <v>2</v>
      </c>
      <c r="T83" s="52"/>
      <c r="U83" s="52"/>
      <c r="V83" s="52"/>
      <c r="W83" s="52"/>
      <c r="X83" s="52"/>
      <c r="Y83" s="55">
        <v>4</v>
      </c>
      <c r="Z83" s="52"/>
      <c r="AA83" s="52"/>
      <c r="AB83" s="54">
        <v>1</v>
      </c>
      <c r="AC83" s="52"/>
      <c r="AD83" s="52"/>
      <c r="AE83" s="52"/>
      <c r="AF83" s="55">
        <v>1</v>
      </c>
      <c r="AG83" s="52"/>
    </row>
    <row r="84" spans="1:33" ht="16.8" x14ac:dyDescent="0.3">
      <c r="A84" s="86"/>
      <c r="B84" s="86"/>
      <c r="C84" s="87"/>
      <c r="D84" s="87"/>
      <c r="E84" s="88"/>
      <c r="F84" s="88"/>
      <c r="G84" s="52">
        <v>1</v>
      </c>
      <c r="H84" s="52">
        <v>1</v>
      </c>
      <c r="I84" s="52">
        <v>1</v>
      </c>
      <c r="J84" s="52">
        <v>1</v>
      </c>
      <c r="K84" s="52">
        <v>1</v>
      </c>
      <c r="L84" s="52">
        <v>1</v>
      </c>
      <c r="M84" s="52">
        <v>1</v>
      </c>
      <c r="N84" s="52">
        <v>1</v>
      </c>
      <c r="O84" s="52">
        <v>1</v>
      </c>
      <c r="P84" s="52">
        <v>1</v>
      </c>
      <c r="Q84" s="52">
        <v>1</v>
      </c>
      <c r="R84" s="52">
        <v>1</v>
      </c>
      <c r="S84" s="52">
        <v>1</v>
      </c>
      <c r="T84" s="52">
        <v>1</v>
      </c>
      <c r="U84" s="52">
        <v>1</v>
      </c>
      <c r="V84" s="52">
        <v>1</v>
      </c>
      <c r="W84" s="52">
        <v>1</v>
      </c>
      <c r="X84" s="52">
        <v>1</v>
      </c>
      <c r="Y84" s="52">
        <v>1</v>
      </c>
      <c r="Z84" s="52">
        <v>1</v>
      </c>
      <c r="AA84" s="52">
        <v>1</v>
      </c>
      <c r="AB84" s="53">
        <v>0</v>
      </c>
      <c r="AC84" s="52">
        <v>0</v>
      </c>
      <c r="AD84" s="52">
        <v>0</v>
      </c>
      <c r="AE84" s="52">
        <v>0</v>
      </c>
      <c r="AF84" s="52">
        <v>0</v>
      </c>
      <c r="AG84" s="52">
        <v>2</v>
      </c>
    </row>
    <row r="85" spans="1:33" ht="16.8" x14ac:dyDescent="0.3">
      <c r="A85" s="86"/>
      <c r="B85" s="86" t="s">
        <v>41</v>
      </c>
      <c r="C85" s="87" t="s">
        <v>186</v>
      </c>
      <c r="D85" s="87"/>
      <c r="E85" s="95" t="s">
        <v>83</v>
      </c>
      <c r="F85" s="95"/>
      <c r="G85" s="52">
        <v>1</v>
      </c>
      <c r="H85" s="52">
        <v>1</v>
      </c>
      <c r="I85" s="52">
        <v>1</v>
      </c>
      <c r="J85" s="52">
        <v>1</v>
      </c>
      <c r="K85" s="52">
        <v>1</v>
      </c>
      <c r="L85" s="52">
        <v>1</v>
      </c>
      <c r="M85" s="52">
        <v>1</v>
      </c>
      <c r="N85" s="52">
        <v>1</v>
      </c>
      <c r="O85" s="52">
        <v>1</v>
      </c>
      <c r="P85" s="52">
        <v>1</v>
      </c>
      <c r="Q85" s="52">
        <v>1</v>
      </c>
      <c r="R85" s="52">
        <v>1</v>
      </c>
      <c r="S85" s="52">
        <v>1</v>
      </c>
      <c r="T85" s="52">
        <v>1</v>
      </c>
      <c r="U85" s="52">
        <v>1</v>
      </c>
      <c r="V85" s="52">
        <v>1</v>
      </c>
      <c r="W85" s="52">
        <v>1</v>
      </c>
      <c r="X85" s="52">
        <v>1</v>
      </c>
      <c r="Y85" s="52">
        <v>1</v>
      </c>
      <c r="Z85" s="52">
        <v>1</v>
      </c>
      <c r="AA85" s="52">
        <v>1</v>
      </c>
      <c r="AB85" s="52">
        <v>1</v>
      </c>
      <c r="AC85" s="53">
        <v>0</v>
      </c>
      <c r="AD85" s="52">
        <v>0</v>
      </c>
      <c r="AE85" s="52">
        <v>0</v>
      </c>
      <c r="AF85" s="52">
        <v>1</v>
      </c>
      <c r="AG85" s="52">
        <v>0</v>
      </c>
    </row>
    <row r="86" spans="1:33" ht="16.8" x14ac:dyDescent="0.3">
      <c r="A86" s="86"/>
      <c r="B86" s="86"/>
      <c r="C86" s="87" t="s">
        <v>187</v>
      </c>
      <c r="D86" s="87"/>
      <c r="E86" s="95" t="s">
        <v>88</v>
      </c>
      <c r="F86" s="95"/>
      <c r="G86" s="52">
        <v>3</v>
      </c>
      <c r="H86" s="52">
        <v>2</v>
      </c>
      <c r="I86" s="52">
        <v>2</v>
      </c>
      <c r="J86" s="52">
        <v>2</v>
      </c>
      <c r="K86" s="52">
        <v>2</v>
      </c>
      <c r="L86" s="52">
        <v>2</v>
      </c>
      <c r="M86" s="52">
        <v>2</v>
      </c>
      <c r="N86" s="52">
        <v>2</v>
      </c>
      <c r="O86" s="52">
        <v>2</v>
      </c>
      <c r="P86" s="52">
        <v>2</v>
      </c>
      <c r="Q86" s="52">
        <v>2</v>
      </c>
      <c r="R86" s="52">
        <v>2</v>
      </c>
      <c r="S86" s="52">
        <v>2</v>
      </c>
      <c r="T86" s="52">
        <v>2</v>
      </c>
      <c r="U86" s="52">
        <v>2</v>
      </c>
      <c r="V86" s="52">
        <v>2</v>
      </c>
      <c r="W86" s="52">
        <v>2</v>
      </c>
      <c r="X86" s="52">
        <v>2</v>
      </c>
      <c r="Y86" s="52">
        <v>2</v>
      </c>
      <c r="Z86" s="52">
        <v>2</v>
      </c>
      <c r="AA86" s="52">
        <v>2</v>
      </c>
      <c r="AB86" s="52">
        <v>2</v>
      </c>
      <c r="AC86" s="53">
        <v>0</v>
      </c>
      <c r="AD86" s="52">
        <v>0</v>
      </c>
      <c r="AE86" s="52">
        <v>2</v>
      </c>
      <c r="AF86" s="52">
        <v>0</v>
      </c>
      <c r="AG86" s="52">
        <v>0</v>
      </c>
    </row>
    <row r="87" spans="1:33" ht="16.8" x14ac:dyDescent="0.3">
      <c r="A87" s="86"/>
      <c r="B87" s="86"/>
      <c r="C87" s="88"/>
      <c r="D87" s="88"/>
      <c r="E87" s="95"/>
      <c r="F87" s="95"/>
      <c r="G87" s="52"/>
      <c r="H87" s="52"/>
      <c r="I87" s="52"/>
      <c r="J87" s="52"/>
      <c r="K87" s="52"/>
      <c r="L87" s="52"/>
      <c r="M87" s="52"/>
      <c r="N87" s="52"/>
      <c r="O87" s="52"/>
      <c r="P87" s="55">
        <v>2</v>
      </c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7"/>
      <c r="AC87" s="55">
        <v>1</v>
      </c>
      <c r="AD87" s="52"/>
      <c r="AE87" s="52">
        <v>0</v>
      </c>
      <c r="AF87" s="52">
        <v>0</v>
      </c>
      <c r="AG87" s="52">
        <v>0</v>
      </c>
    </row>
    <row r="88" spans="1:33" ht="16.8" x14ac:dyDescent="0.3">
      <c r="A88" s="86"/>
      <c r="B88" s="86"/>
      <c r="C88" s="87" t="s">
        <v>188</v>
      </c>
      <c r="D88" s="87"/>
      <c r="E88" s="95" t="s">
        <v>85</v>
      </c>
      <c r="F88" s="95"/>
      <c r="G88" s="52">
        <v>2</v>
      </c>
      <c r="H88" s="52">
        <v>2</v>
      </c>
      <c r="I88" s="52">
        <v>2</v>
      </c>
      <c r="J88" s="52">
        <v>2</v>
      </c>
      <c r="K88" s="52">
        <v>2</v>
      </c>
      <c r="L88" s="52">
        <v>2</v>
      </c>
      <c r="M88" s="52">
        <v>2</v>
      </c>
      <c r="N88" s="52">
        <v>2</v>
      </c>
      <c r="O88" s="52">
        <v>2</v>
      </c>
      <c r="P88" s="52">
        <v>2</v>
      </c>
      <c r="Q88" s="52">
        <v>2</v>
      </c>
      <c r="R88" s="52">
        <v>2</v>
      </c>
      <c r="S88" s="52">
        <v>2</v>
      </c>
      <c r="T88" s="52">
        <v>2</v>
      </c>
      <c r="U88" s="52">
        <v>2</v>
      </c>
      <c r="V88" s="52">
        <v>2</v>
      </c>
      <c r="W88" s="52">
        <v>2</v>
      </c>
      <c r="X88" s="52">
        <v>2</v>
      </c>
      <c r="Y88" s="52">
        <v>2</v>
      </c>
      <c r="Z88" s="52">
        <v>2</v>
      </c>
      <c r="AA88" s="52">
        <v>2</v>
      </c>
      <c r="AB88" s="52">
        <v>2</v>
      </c>
      <c r="AC88" s="53">
        <v>0</v>
      </c>
      <c r="AD88" s="52">
        <v>1</v>
      </c>
      <c r="AE88" s="52">
        <v>0</v>
      </c>
      <c r="AF88" s="52">
        <v>0</v>
      </c>
      <c r="AG88" s="52">
        <v>0</v>
      </c>
    </row>
    <row r="89" spans="1:33" ht="16.8" x14ac:dyDescent="0.3">
      <c r="A89" s="86"/>
      <c r="B89" s="86"/>
      <c r="C89" s="87" t="s">
        <v>189</v>
      </c>
      <c r="D89" s="87"/>
      <c r="E89" s="95" t="s">
        <v>89</v>
      </c>
      <c r="F89" s="95"/>
      <c r="G89" s="52">
        <v>1</v>
      </c>
      <c r="H89" s="52">
        <v>2</v>
      </c>
      <c r="I89" s="52">
        <v>2</v>
      </c>
      <c r="J89" s="52">
        <v>2</v>
      </c>
      <c r="K89" s="52">
        <v>2</v>
      </c>
      <c r="L89" s="52">
        <v>2</v>
      </c>
      <c r="M89" s="52">
        <v>2</v>
      </c>
      <c r="N89" s="52">
        <v>2</v>
      </c>
      <c r="O89" s="52">
        <v>2</v>
      </c>
      <c r="P89" s="52">
        <v>2</v>
      </c>
      <c r="Q89" s="52">
        <v>2</v>
      </c>
      <c r="R89" s="52">
        <v>2</v>
      </c>
      <c r="S89" s="52">
        <v>2</v>
      </c>
      <c r="T89" s="52">
        <v>2</v>
      </c>
      <c r="U89" s="52">
        <v>2</v>
      </c>
      <c r="V89" s="52">
        <v>2</v>
      </c>
      <c r="W89" s="52">
        <v>2</v>
      </c>
      <c r="X89" s="52">
        <v>2</v>
      </c>
      <c r="Y89" s="52">
        <v>2</v>
      </c>
      <c r="Z89" s="52">
        <v>2</v>
      </c>
      <c r="AA89" s="52">
        <v>2</v>
      </c>
      <c r="AB89" s="52">
        <v>1</v>
      </c>
      <c r="AC89" s="53">
        <v>0</v>
      </c>
      <c r="AD89" s="52">
        <v>0</v>
      </c>
      <c r="AE89" s="52">
        <v>0</v>
      </c>
      <c r="AF89" s="52">
        <v>0</v>
      </c>
      <c r="AG89" s="52">
        <v>0</v>
      </c>
    </row>
    <row r="90" spans="1:33" ht="16.8" x14ac:dyDescent="0.3">
      <c r="A90" s="86"/>
      <c r="B90" s="86"/>
      <c r="C90" s="88"/>
      <c r="D90" s="88"/>
      <c r="E90" s="95"/>
      <c r="F90" s="95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5">
        <v>2</v>
      </c>
      <c r="T90" s="52"/>
      <c r="U90" s="52"/>
      <c r="V90" s="52"/>
      <c r="W90" s="52"/>
      <c r="X90" s="52"/>
      <c r="Y90" s="52"/>
      <c r="Z90" s="52"/>
      <c r="AA90" s="52"/>
      <c r="AB90" s="7"/>
      <c r="AC90" s="54">
        <v>1</v>
      </c>
      <c r="AD90" s="55">
        <v>1</v>
      </c>
      <c r="AE90" s="55">
        <v>2</v>
      </c>
      <c r="AF90" s="52"/>
      <c r="AG90" s="52"/>
    </row>
    <row r="91" spans="1:33" ht="16.8" x14ac:dyDescent="0.3">
      <c r="A91" s="86"/>
      <c r="B91" s="86"/>
      <c r="C91" s="87" t="s">
        <v>190</v>
      </c>
      <c r="D91" s="87"/>
      <c r="E91" s="95" t="s">
        <v>88</v>
      </c>
      <c r="F91" s="95"/>
      <c r="G91" s="52">
        <v>2</v>
      </c>
      <c r="H91" s="52">
        <v>2</v>
      </c>
      <c r="I91" s="52">
        <v>2</v>
      </c>
      <c r="J91" s="52">
        <v>2</v>
      </c>
      <c r="K91" s="52">
        <v>2</v>
      </c>
      <c r="L91" s="52">
        <v>2</v>
      </c>
      <c r="M91" s="52">
        <v>2</v>
      </c>
      <c r="N91" s="52">
        <v>2</v>
      </c>
      <c r="O91" s="52">
        <v>2</v>
      </c>
      <c r="P91" s="52">
        <v>2</v>
      </c>
      <c r="Q91" s="52">
        <v>2</v>
      </c>
      <c r="R91" s="52">
        <v>2</v>
      </c>
      <c r="S91" s="52">
        <v>2</v>
      </c>
      <c r="T91" s="52">
        <v>2</v>
      </c>
      <c r="U91" s="52">
        <v>2</v>
      </c>
      <c r="V91" s="52">
        <v>2</v>
      </c>
      <c r="W91" s="52">
        <v>2</v>
      </c>
      <c r="X91" s="52">
        <v>2</v>
      </c>
      <c r="Y91" s="52">
        <v>2</v>
      </c>
      <c r="Z91" s="52">
        <v>2</v>
      </c>
      <c r="AA91" s="52">
        <v>2</v>
      </c>
      <c r="AB91" s="52">
        <v>2</v>
      </c>
      <c r="AC91" s="53">
        <v>0</v>
      </c>
      <c r="AD91" s="52"/>
      <c r="AE91" s="52">
        <v>0</v>
      </c>
      <c r="AF91" s="52">
        <v>0</v>
      </c>
      <c r="AG91" s="52">
        <v>0</v>
      </c>
    </row>
    <row r="92" spans="1:33" ht="16.8" x14ac:dyDescent="0.3">
      <c r="A92" s="86"/>
      <c r="B92" s="86"/>
      <c r="C92" s="91" t="s">
        <v>191</v>
      </c>
      <c r="D92" s="92"/>
      <c r="E92" s="95" t="s">
        <v>83</v>
      </c>
      <c r="F92" s="95"/>
      <c r="G92" s="52">
        <v>1</v>
      </c>
      <c r="H92" s="52">
        <v>1</v>
      </c>
      <c r="I92" s="52">
        <v>1</v>
      </c>
      <c r="J92" s="52">
        <v>1</v>
      </c>
      <c r="K92" s="52">
        <v>1</v>
      </c>
      <c r="L92" s="52">
        <v>1</v>
      </c>
      <c r="M92" s="52">
        <v>1</v>
      </c>
      <c r="N92" s="52">
        <v>1</v>
      </c>
      <c r="O92" s="52">
        <v>1</v>
      </c>
      <c r="P92" s="52">
        <v>1</v>
      </c>
      <c r="Q92" s="52">
        <v>1</v>
      </c>
      <c r="R92" s="52">
        <v>1</v>
      </c>
      <c r="S92" s="52">
        <v>1</v>
      </c>
      <c r="T92" s="52">
        <v>1</v>
      </c>
      <c r="U92" s="52">
        <v>1</v>
      </c>
      <c r="V92" s="52">
        <v>1</v>
      </c>
      <c r="W92" s="52">
        <v>1</v>
      </c>
      <c r="X92" s="52">
        <v>1</v>
      </c>
      <c r="Y92" s="52">
        <v>1</v>
      </c>
      <c r="Z92" s="52">
        <v>1</v>
      </c>
      <c r="AA92" s="52">
        <v>1</v>
      </c>
      <c r="AB92" s="52">
        <v>1</v>
      </c>
      <c r="AC92" s="53">
        <v>0</v>
      </c>
      <c r="AD92" s="52">
        <v>0</v>
      </c>
      <c r="AE92" s="52">
        <v>2</v>
      </c>
      <c r="AF92" s="52">
        <v>0</v>
      </c>
      <c r="AG92" s="52">
        <v>0</v>
      </c>
    </row>
    <row r="93" spans="1:33" ht="16.8" x14ac:dyDescent="0.3">
      <c r="A93" s="86"/>
      <c r="B93" s="86"/>
      <c r="C93" s="91" t="s">
        <v>192</v>
      </c>
      <c r="D93" s="92"/>
      <c r="E93" s="95" t="s">
        <v>89</v>
      </c>
      <c r="F93" s="95"/>
      <c r="G93" s="52">
        <v>2</v>
      </c>
      <c r="H93" s="52">
        <v>2</v>
      </c>
      <c r="I93" s="52">
        <v>2</v>
      </c>
      <c r="J93" s="52">
        <v>2</v>
      </c>
      <c r="K93" s="52">
        <v>2</v>
      </c>
      <c r="L93" s="52">
        <v>2</v>
      </c>
      <c r="M93" s="52">
        <v>2</v>
      </c>
      <c r="N93" s="52">
        <v>2</v>
      </c>
      <c r="O93" s="52">
        <v>2</v>
      </c>
      <c r="P93" s="52">
        <v>2</v>
      </c>
      <c r="Q93" s="52">
        <v>2</v>
      </c>
      <c r="R93" s="52">
        <v>2</v>
      </c>
      <c r="S93" s="52">
        <v>2</v>
      </c>
      <c r="T93" s="52">
        <v>2</v>
      </c>
      <c r="U93" s="52">
        <v>2</v>
      </c>
      <c r="V93" s="52">
        <v>2</v>
      </c>
      <c r="W93" s="52">
        <v>2</v>
      </c>
      <c r="X93" s="52">
        <v>2</v>
      </c>
      <c r="Y93" s="52">
        <v>2</v>
      </c>
      <c r="Z93" s="52">
        <v>2</v>
      </c>
      <c r="AA93" s="52">
        <v>2</v>
      </c>
      <c r="AB93" s="52">
        <v>2</v>
      </c>
      <c r="AC93" s="53">
        <v>0</v>
      </c>
      <c r="AD93" s="52">
        <v>0</v>
      </c>
      <c r="AE93" s="52"/>
      <c r="AF93" s="52">
        <v>0</v>
      </c>
      <c r="AG93" s="52">
        <v>0</v>
      </c>
    </row>
    <row r="94" spans="1:33" ht="16.8" x14ac:dyDescent="0.3">
      <c r="A94" s="86"/>
      <c r="B94" s="86"/>
      <c r="C94" s="91" t="s">
        <v>193</v>
      </c>
      <c r="D94" s="92"/>
      <c r="E94" s="95" t="s">
        <v>85</v>
      </c>
      <c r="F94" s="95"/>
      <c r="G94" s="52">
        <v>1</v>
      </c>
      <c r="H94" s="52">
        <v>1</v>
      </c>
      <c r="I94" s="52">
        <v>1</v>
      </c>
      <c r="J94" s="52">
        <v>1</v>
      </c>
      <c r="K94" s="52">
        <v>1</v>
      </c>
      <c r="L94" s="52">
        <v>1</v>
      </c>
      <c r="M94" s="52">
        <v>1</v>
      </c>
      <c r="N94" s="52">
        <v>1</v>
      </c>
      <c r="O94" s="52">
        <v>1</v>
      </c>
      <c r="P94" s="52">
        <v>1</v>
      </c>
      <c r="Q94" s="52">
        <v>1</v>
      </c>
      <c r="R94" s="52">
        <v>1</v>
      </c>
      <c r="S94" s="52">
        <v>1</v>
      </c>
      <c r="T94" s="52">
        <v>1</v>
      </c>
      <c r="U94" s="52">
        <v>1</v>
      </c>
      <c r="V94" s="52">
        <v>1</v>
      </c>
      <c r="W94" s="52">
        <v>1</v>
      </c>
      <c r="X94" s="52">
        <v>1</v>
      </c>
      <c r="Y94" s="52">
        <v>1</v>
      </c>
      <c r="Z94" s="52">
        <v>1</v>
      </c>
      <c r="AA94" s="52">
        <v>1</v>
      </c>
      <c r="AB94" s="52">
        <v>1</v>
      </c>
      <c r="AC94" s="53">
        <v>0</v>
      </c>
      <c r="AD94" s="52">
        <v>0</v>
      </c>
      <c r="AE94" s="52">
        <v>2</v>
      </c>
      <c r="AF94" s="52">
        <v>1</v>
      </c>
      <c r="AG94" s="52">
        <v>0</v>
      </c>
    </row>
    <row r="95" spans="1:33" ht="16.8" x14ac:dyDescent="0.3">
      <c r="A95" s="86"/>
      <c r="B95" s="86"/>
      <c r="C95" s="91"/>
      <c r="D95" s="92"/>
      <c r="E95" s="95" t="s">
        <v>89</v>
      </c>
      <c r="F95" s="95"/>
      <c r="G95" s="52">
        <v>1</v>
      </c>
      <c r="H95" s="52">
        <v>1</v>
      </c>
      <c r="I95" s="52">
        <v>1</v>
      </c>
      <c r="J95" s="52">
        <v>1</v>
      </c>
      <c r="K95" s="52">
        <v>1</v>
      </c>
      <c r="L95" s="52">
        <v>1</v>
      </c>
      <c r="M95" s="52">
        <v>1</v>
      </c>
      <c r="N95" s="52">
        <v>1</v>
      </c>
      <c r="O95" s="52">
        <v>1</v>
      </c>
      <c r="P95" s="52">
        <v>1</v>
      </c>
      <c r="Q95" s="52">
        <v>1</v>
      </c>
      <c r="R95" s="52">
        <v>1</v>
      </c>
      <c r="S95" s="52">
        <v>1</v>
      </c>
      <c r="T95" s="52">
        <v>1</v>
      </c>
      <c r="U95" s="52">
        <v>1</v>
      </c>
      <c r="V95" s="52">
        <v>1</v>
      </c>
      <c r="W95" s="52">
        <v>1</v>
      </c>
      <c r="X95" s="52">
        <v>1</v>
      </c>
      <c r="Y95" s="52">
        <v>1</v>
      </c>
      <c r="Z95" s="52">
        <v>1</v>
      </c>
      <c r="AA95" s="52">
        <v>1</v>
      </c>
      <c r="AB95" s="52">
        <v>1</v>
      </c>
      <c r="AC95" s="53">
        <v>0</v>
      </c>
      <c r="AD95" s="52">
        <v>0</v>
      </c>
      <c r="AE95" s="52">
        <v>0</v>
      </c>
      <c r="AF95" s="52">
        <v>0</v>
      </c>
      <c r="AG95" s="52">
        <v>0</v>
      </c>
    </row>
    <row r="96" spans="1:33" ht="16.8" x14ac:dyDescent="0.3">
      <c r="A96" s="86"/>
      <c r="B96" s="86" t="s">
        <v>40</v>
      </c>
      <c r="C96" s="87" t="s">
        <v>43</v>
      </c>
      <c r="D96" s="87"/>
      <c r="E96" s="88" t="s">
        <v>48</v>
      </c>
      <c r="F96" s="88"/>
      <c r="G96" s="52">
        <v>5</v>
      </c>
      <c r="H96" s="52">
        <v>5</v>
      </c>
      <c r="I96" s="52">
        <v>5</v>
      </c>
      <c r="J96" s="52">
        <v>5</v>
      </c>
      <c r="K96" s="52">
        <v>5</v>
      </c>
      <c r="L96" s="52">
        <v>5</v>
      </c>
      <c r="M96" s="52">
        <v>5</v>
      </c>
      <c r="N96" s="52">
        <v>5</v>
      </c>
      <c r="O96" s="52">
        <v>5</v>
      </c>
      <c r="P96" s="52">
        <v>5</v>
      </c>
      <c r="Q96" s="52">
        <v>5</v>
      </c>
      <c r="R96" s="52">
        <v>5</v>
      </c>
      <c r="S96" s="52">
        <v>5</v>
      </c>
      <c r="T96" s="52">
        <v>5</v>
      </c>
      <c r="U96" s="52">
        <v>5</v>
      </c>
      <c r="V96" s="52">
        <v>5</v>
      </c>
      <c r="W96" s="52">
        <v>5</v>
      </c>
      <c r="X96" s="52">
        <v>5</v>
      </c>
      <c r="Y96" s="52">
        <v>5</v>
      </c>
      <c r="Z96" s="52">
        <v>5</v>
      </c>
      <c r="AA96" s="52">
        <v>5</v>
      </c>
      <c r="AB96" s="52">
        <v>5</v>
      </c>
      <c r="AC96" s="52">
        <v>5</v>
      </c>
      <c r="AD96" s="53">
        <v>0</v>
      </c>
      <c r="AE96" s="53">
        <v>0</v>
      </c>
      <c r="AF96" s="53">
        <v>0</v>
      </c>
      <c r="AG96" s="53">
        <v>0</v>
      </c>
    </row>
    <row r="97" spans="1:33" ht="16.8" x14ac:dyDescent="0.3">
      <c r="A97" s="86"/>
      <c r="B97" s="86"/>
      <c r="C97" s="87" t="s">
        <v>44</v>
      </c>
      <c r="D97" s="87"/>
      <c r="E97" s="88" t="s">
        <v>48</v>
      </c>
      <c r="F97" s="88"/>
      <c r="G97" s="52">
        <v>5</v>
      </c>
      <c r="H97" s="52">
        <v>5</v>
      </c>
      <c r="I97" s="52">
        <v>5</v>
      </c>
      <c r="J97" s="52">
        <v>5</v>
      </c>
      <c r="K97" s="52">
        <v>5</v>
      </c>
      <c r="L97" s="52">
        <v>5</v>
      </c>
      <c r="M97" s="52">
        <v>5</v>
      </c>
      <c r="N97" s="52">
        <v>5</v>
      </c>
      <c r="O97" s="52">
        <v>5</v>
      </c>
      <c r="P97" s="52">
        <v>5</v>
      </c>
      <c r="Q97" s="52">
        <v>5</v>
      </c>
      <c r="R97" s="52">
        <v>5</v>
      </c>
      <c r="S97" s="52">
        <v>5</v>
      </c>
      <c r="T97" s="52">
        <v>5</v>
      </c>
      <c r="U97" s="52">
        <v>5</v>
      </c>
      <c r="V97" s="52">
        <v>5</v>
      </c>
      <c r="W97" s="52">
        <v>5</v>
      </c>
      <c r="X97" s="52">
        <v>5</v>
      </c>
      <c r="Y97" s="52">
        <v>5</v>
      </c>
      <c r="Z97" s="52">
        <v>5</v>
      </c>
      <c r="AA97" s="52">
        <v>5</v>
      </c>
      <c r="AB97" s="52">
        <v>5</v>
      </c>
      <c r="AC97" s="52">
        <v>5</v>
      </c>
      <c r="AD97" s="53">
        <v>0</v>
      </c>
      <c r="AE97" s="53">
        <v>0</v>
      </c>
      <c r="AF97" s="53">
        <v>0</v>
      </c>
      <c r="AG97" s="53">
        <v>0</v>
      </c>
    </row>
    <row r="98" spans="1:33" ht="16.8" x14ac:dyDescent="0.3">
      <c r="A98" s="86"/>
      <c r="B98" s="96" t="s">
        <v>12</v>
      </c>
      <c r="C98" s="96"/>
      <c r="D98" s="96"/>
      <c r="E98" s="97" t="s">
        <v>11</v>
      </c>
      <c r="F98" s="97"/>
      <c r="G98" s="88">
        <f>SUM(G16:G97)</f>
        <v>151</v>
      </c>
      <c r="H98" s="88"/>
      <c r="I98" s="52">
        <f t="shared" ref="I98:N98" si="0">SUM(I16:I97)</f>
        <v>156</v>
      </c>
      <c r="J98" s="52">
        <f t="shared" si="0"/>
        <v>144</v>
      </c>
      <c r="K98" s="52">
        <f t="shared" si="0"/>
        <v>144</v>
      </c>
      <c r="L98" s="52">
        <f t="shared" si="0"/>
        <v>138</v>
      </c>
      <c r="M98" s="52">
        <f t="shared" si="0"/>
        <v>134</v>
      </c>
      <c r="N98" s="52">
        <f t="shared" si="0"/>
        <v>121</v>
      </c>
      <c r="O98" s="52">
        <f>SUM(O16:O97)-O30</f>
        <v>116</v>
      </c>
      <c r="P98" s="52">
        <f>SUM(P16:P97)</f>
        <v>116</v>
      </c>
      <c r="Q98" s="52">
        <f>SUM(Q16:Q97)</f>
        <v>104</v>
      </c>
      <c r="R98" s="52">
        <f>SUM(R16:R97)-R42</f>
        <v>96</v>
      </c>
      <c r="S98" s="52">
        <f>SUM(S16:S97)-S44</f>
        <v>93</v>
      </c>
      <c r="T98" s="52">
        <f t="shared" ref="T98:AA98" si="1">SUM(T16:T97)</f>
        <v>85</v>
      </c>
      <c r="U98" s="52">
        <f t="shared" si="1"/>
        <v>79</v>
      </c>
      <c r="V98" s="52">
        <f t="shared" si="1"/>
        <v>76</v>
      </c>
      <c r="W98" s="52">
        <f t="shared" si="1"/>
        <v>66</v>
      </c>
      <c r="X98" s="52">
        <f t="shared" si="1"/>
        <v>55</v>
      </c>
      <c r="Y98" s="52">
        <f t="shared" si="1"/>
        <v>49</v>
      </c>
      <c r="Z98" s="52">
        <f t="shared" si="1"/>
        <v>38</v>
      </c>
      <c r="AA98" s="52">
        <f t="shared" si="1"/>
        <v>28</v>
      </c>
      <c r="AB98" s="52">
        <f>SUM(AB16:AB97)-AB84</f>
        <v>24</v>
      </c>
      <c r="AC98" s="52">
        <f>SUM(AC16:AC97)-AC90</f>
        <v>11</v>
      </c>
      <c r="AD98" s="52">
        <f>SUM(AD16:AD97)</f>
        <v>10</v>
      </c>
      <c r="AE98" s="52">
        <f>SUM(AE16:AE97)</f>
        <v>8</v>
      </c>
      <c r="AF98" s="52">
        <f>SUM(AF16:AF97)</f>
        <v>6</v>
      </c>
      <c r="AG98" s="52">
        <f t="shared" ref="AG98" si="2">SUM(AG16:AG97)-AG90</f>
        <v>2</v>
      </c>
    </row>
    <row r="99" spans="1:33" ht="16.8" x14ac:dyDescent="0.3">
      <c r="A99" s="86"/>
      <c r="B99" s="96"/>
      <c r="C99" s="96"/>
      <c r="D99" s="96"/>
      <c r="E99" s="97" t="s">
        <v>49</v>
      </c>
      <c r="F99" s="97"/>
      <c r="G99" s="88">
        <f>SUM(G16:G97)</f>
        <v>151</v>
      </c>
      <c r="H99" s="88"/>
      <c r="I99" s="52">
        <f>SUM(I16:I97)</f>
        <v>156</v>
      </c>
      <c r="J99" s="52">
        <f>SUM(J16:J97)+K18</f>
        <v>146</v>
      </c>
      <c r="K99" s="52">
        <f>SUM(K16:K97)-K18</f>
        <v>142</v>
      </c>
      <c r="L99" s="52">
        <f>SUM(L16:L97)</f>
        <v>138</v>
      </c>
      <c r="M99" s="52">
        <f>SUM(M16:M97)-M30</f>
        <v>133</v>
      </c>
      <c r="N99" s="52">
        <f>SUM(N16:N97)+O30</f>
        <v>126</v>
      </c>
      <c r="O99" s="52">
        <f>SUM(O16:O97)-O30</f>
        <v>116</v>
      </c>
      <c r="P99" s="52">
        <f>SUM(P16:P97)-(P33)-P87</f>
        <v>112</v>
      </c>
      <c r="Q99" s="52">
        <f>SUM(Q16:Q97)+R42</f>
        <v>107</v>
      </c>
      <c r="R99" s="52">
        <f>SUM(R16:R97)-R42+S44</f>
        <v>97</v>
      </c>
      <c r="S99" s="52">
        <f>SUM(S16:S97)-S83-S90</f>
        <v>90</v>
      </c>
      <c r="T99" s="52">
        <f>SUM(T16:T97)-T48</f>
        <v>83</v>
      </c>
      <c r="U99" s="52">
        <f>SUM(U16:U97)</f>
        <v>79</v>
      </c>
      <c r="V99" s="52">
        <f>SUM(V16:V97)-V54</f>
        <v>75</v>
      </c>
      <c r="W99" s="52">
        <f>SUM(W16:W97)</f>
        <v>66</v>
      </c>
      <c r="X99" s="52">
        <f>SUM(X16:X97)</f>
        <v>55</v>
      </c>
      <c r="Y99" s="52">
        <f>SUM(Y16:Y97)-Y83</f>
        <v>45</v>
      </c>
      <c r="Z99" s="52">
        <f>SUM(Z16:Z97)-Z67</f>
        <v>38</v>
      </c>
      <c r="AA99" s="52">
        <f>SUM(AA16:AA97)+AB84-AA77</f>
        <v>28</v>
      </c>
      <c r="AB99" s="52">
        <f>SUM(AB16:AB97)-AB84+AC90</f>
        <v>25</v>
      </c>
      <c r="AC99" s="52">
        <f>SUM(AC16:AC97)-AC90-AC87</f>
        <v>10</v>
      </c>
      <c r="AD99" s="52">
        <f>SUM(AD16:AD97)-AD90</f>
        <v>9</v>
      </c>
      <c r="AE99" s="52">
        <f>SUM(AE16:AE97)-AE90</f>
        <v>6</v>
      </c>
      <c r="AF99" s="52">
        <f>SUM(AF16:AF97)-AF83</f>
        <v>5</v>
      </c>
      <c r="AG99" s="52">
        <f t="shared" ref="AG99" si="3">SUM(AG16:AG97)-AG90-AG87</f>
        <v>2</v>
      </c>
    </row>
    <row r="120" spans="3:4" x14ac:dyDescent="0.3">
      <c r="C120" s="98"/>
      <c r="D120" s="98"/>
    </row>
  </sheetData>
  <mergeCells count="186">
    <mergeCell ref="B98:D99"/>
    <mergeCell ref="E98:F98"/>
    <mergeCell ref="G98:H98"/>
    <mergeCell ref="E99:F99"/>
    <mergeCell ref="G99:H99"/>
    <mergeCell ref="C120:D120"/>
    <mergeCell ref="C94:D94"/>
    <mergeCell ref="E94:F94"/>
    <mergeCell ref="C95:D95"/>
    <mergeCell ref="E95:F95"/>
    <mergeCell ref="B96:B97"/>
    <mergeCell ref="C96:D96"/>
    <mergeCell ref="E96:F96"/>
    <mergeCell ref="C97:D97"/>
    <mergeCell ref="E97:F97"/>
    <mergeCell ref="B85:B95"/>
    <mergeCell ref="C85:D85"/>
    <mergeCell ref="E85:F85"/>
    <mergeCell ref="C86:D86"/>
    <mergeCell ref="E86:F86"/>
    <mergeCell ref="C87:D87"/>
    <mergeCell ref="C91:D91"/>
    <mergeCell ref="E91:F91"/>
    <mergeCell ref="C92:D92"/>
    <mergeCell ref="E92:F92"/>
    <mergeCell ref="C93:D93"/>
    <mergeCell ref="E93:F93"/>
    <mergeCell ref="E87:F87"/>
    <mergeCell ref="C88:D88"/>
    <mergeCell ref="E88:F88"/>
    <mergeCell ref="C89:D89"/>
    <mergeCell ref="E89:F89"/>
    <mergeCell ref="C90:D90"/>
    <mergeCell ref="E90:F90"/>
    <mergeCell ref="E79:F79"/>
    <mergeCell ref="C80:D80"/>
    <mergeCell ref="E80:F80"/>
    <mergeCell ref="C81:D81"/>
    <mergeCell ref="E81:F81"/>
    <mergeCell ref="C82:D82"/>
    <mergeCell ref="E82:F82"/>
    <mergeCell ref="B75:B8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C83:D83"/>
    <mergeCell ref="E83:F83"/>
    <mergeCell ref="C84:D84"/>
    <mergeCell ref="E84:F84"/>
    <mergeCell ref="C64:D64"/>
    <mergeCell ref="E64:F64"/>
    <mergeCell ref="B65:B74"/>
    <mergeCell ref="C65:D65"/>
    <mergeCell ref="E65:F65"/>
    <mergeCell ref="C66:D66"/>
    <mergeCell ref="E66:F66"/>
    <mergeCell ref="C67:D67"/>
    <mergeCell ref="E67:F67"/>
    <mergeCell ref="C68:D68"/>
    <mergeCell ref="B43:B64"/>
    <mergeCell ref="C72:D72"/>
    <mergeCell ref="E72:F72"/>
    <mergeCell ref="C73:D73"/>
    <mergeCell ref="E73:F73"/>
    <mergeCell ref="C74:D74"/>
    <mergeCell ref="E74:F74"/>
    <mergeCell ref="E68:F68"/>
    <mergeCell ref="C69:D69"/>
    <mergeCell ref="E69:F69"/>
    <mergeCell ref="C70:D70"/>
    <mergeCell ref="E70:F70"/>
    <mergeCell ref="C71:D71"/>
    <mergeCell ref="E71:F71"/>
    <mergeCell ref="C60:D60"/>
    <mergeCell ref="C61:D61"/>
    <mergeCell ref="E61:F61"/>
    <mergeCell ref="C62:D62"/>
    <mergeCell ref="E62:F62"/>
    <mergeCell ref="C63:D63"/>
    <mergeCell ref="E63:F63"/>
    <mergeCell ref="C56:D56"/>
    <mergeCell ref="E56:F56"/>
    <mergeCell ref="C57:D57"/>
    <mergeCell ref="C58:D58"/>
    <mergeCell ref="E58:F58"/>
    <mergeCell ref="C59:D59"/>
    <mergeCell ref="E59:F59"/>
    <mergeCell ref="E60:F60"/>
    <mergeCell ref="E57:F57"/>
    <mergeCell ref="C52:D52"/>
    <mergeCell ref="C53:D53"/>
    <mergeCell ref="E53:F53"/>
    <mergeCell ref="C54:D54"/>
    <mergeCell ref="E54:F54"/>
    <mergeCell ref="C55:D55"/>
    <mergeCell ref="E55:F55"/>
    <mergeCell ref="C49:D49"/>
    <mergeCell ref="E49:F49"/>
    <mergeCell ref="C50:D50"/>
    <mergeCell ref="E50:F50"/>
    <mergeCell ref="C51:D51"/>
    <mergeCell ref="E51:F51"/>
    <mergeCell ref="E52:F52"/>
    <mergeCell ref="E45:F45"/>
    <mergeCell ref="C46:D46"/>
    <mergeCell ref="E46:F46"/>
    <mergeCell ref="C47:D47"/>
    <mergeCell ref="E47:F47"/>
    <mergeCell ref="C48:D48"/>
    <mergeCell ref="E48:F48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C30:D30"/>
    <mergeCell ref="E30:F30"/>
    <mergeCell ref="B31:B42"/>
    <mergeCell ref="C31:D31"/>
    <mergeCell ref="E31:F31"/>
    <mergeCell ref="C32:D32"/>
    <mergeCell ref="E32:F32"/>
    <mergeCell ref="C33:D33"/>
    <mergeCell ref="E33:F33"/>
    <mergeCell ref="C34:D34"/>
    <mergeCell ref="C38:D38"/>
    <mergeCell ref="E38:F38"/>
    <mergeCell ref="C39:D39"/>
    <mergeCell ref="E39:F39"/>
    <mergeCell ref="C40:D40"/>
    <mergeCell ref="E40:F40"/>
    <mergeCell ref="E34:F34"/>
    <mergeCell ref="C35:D35"/>
    <mergeCell ref="E35:F35"/>
    <mergeCell ref="C36:D36"/>
    <mergeCell ref="E36:F36"/>
    <mergeCell ref="C37:D37"/>
    <mergeCell ref="E37:F37"/>
    <mergeCell ref="C23:D23"/>
    <mergeCell ref="E23:F23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A1:B1"/>
    <mergeCell ref="A2:B2"/>
    <mergeCell ref="A3:B3"/>
    <mergeCell ref="A4:B4"/>
    <mergeCell ref="B6:E6"/>
    <mergeCell ref="B13:C13"/>
    <mergeCell ref="C15:D15"/>
    <mergeCell ref="E15:F15"/>
    <mergeCell ref="A16:A99"/>
    <mergeCell ref="B16:D16"/>
    <mergeCell ref="E16:F16"/>
    <mergeCell ref="B17:D17"/>
    <mergeCell ref="E17:F17"/>
    <mergeCell ref="B18:D18"/>
    <mergeCell ref="E18:F18"/>
    <mergeCell ref="B19:D19"/>
    <mergeCell ref="E19:F19"/>
    <mergeCell ref="B20:B30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N20" sqref="N20"/>
    </sheetView>
  </sheetViews>
  <sheetFormatPr defaultRowHeight="14.4" x14ac:dyDescent="0.3"/>
  <cols>
    <col min="2" max="2" width="10" customWidth="1"/>
    <col min="3" max="3" width="9" customWidth="1"/>
    <col min="4" max="11" width="10" customWidth="1"/>
  </cols>
  <sheetData>
    <row r="1" spans="1:11" ht="16.8" x14ac:dyDescent="0.3">
      <c r="A1" s="101" t="s">
        <v>51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</row>
    <row r="2" spans="1:11" ht="16.8" x14ac:dyDescent="0.3">
      <c r="A2" s="104"/>
      <c r="B2" s="105" t="s">
        <v>90</v>
      </c>
      <c r="C2" s="105"/>
      <c r="D2" s="105" t="s">
        <v>83</v>
      </c>
      <c r="E2" s="105"/>
      <c r="F2" s="105" t="s">
        <v>89</v>
      </c>
      <c r="G2" s="105"/>
      <c r="H2" s="105" t="s">
        <v>88</v>
      </c>
      <c r="I2" s="105"/>
      <c r="J2" s="105" t="s">
        <v>85</v>
      </c>
      <c r="K2" s="106"/>
    </row>
    <row r="3" spans="1:11" ht="17.399999999999999" thickBot="1" x14ac:dyDescent="0.35">
      <c r="A3" s="104"/>
      <c r="B3" s="21" t="s">
        <v>11</v>
      </c>
      <c r="C3" s="21" t="s">
        <v>49</v>
      </c>
      <c r="D3" s="21" t="s">
        <v>11</v>
      </c>
      <c r="E3" s="21" t="s">
        <v>49</v>
      </c>
      <c r="F3" s="21" t="s">
        <v>11</v>
      </c>
      <c r="G3" s="21" t="s">
        <v>49</v>
      </c>
      <c r="H3" s="21" t="s">
        <v>11</v>
      </c>
      <c r="I3" s="21" t="s">
        <v>49</v>
      </c>
      <c r="J3" s="21" t="s">
        <v>11</v>
      </c>
      <c r="K3" s="22" t="s">
        <v>49</v>
      </c>
    </row>
    <row r="4" spans="1:11" ht="17.399999999999999" thickBot="1" x14ac:dyDescent="0.35">
      <c r="A4" s="25" t="s">
        <v>4</v>
      </c>
      <c r="B4" s="3">
        <v>10.8</v>
      </c>
      <c r="C4" s="23">
        <f ca="1">'Sprint 1'!$E$8</f>
        <v>11.6</v>
      </c>
      <c r="D4" s="23">
        <f ca="1">'Sprint 1'!$D$9</f>
        <v>10.8</v>
      </c>
      <c r="E4" s="23">
        <f ca="1">'Sprint 1'!$E$9</f>
        <v>11.6</v>
      </c>
      <c r="F4" s="23">
        <f ca="1">'Sprint 1'!$D$10</f>
        <v>10.8</v>
      </c>
      <c r="G4" s="23">
        <f ca="1">'Sprint 1'!$E$10</f>
        <v>11.6</v>
      </c>
      <c r="H4" s="23">
        <f ca="1">'Sprint 1'!$D$11</f>
        <v>10.8</v>
      </c>
      <c r="I4" s="23">
        <f ca="1">'Sprint 1'!$E$11</f>
        <v>11.6</v>
      </c>
      <c r="J4" s="23">
        <f ca="1">'Sprint 1'!$D$12</f>
        <v>10.8</v>
      </c>
      <c r="K4" s="23">
        <f ca="1">'Sprint 1'!$E$12</f>
        <v>11.6</v>
      </c>
    </row>
    <row r="5" spans="1:11" ht="16.8" x14ac:dyDescent="0.3">
      <c r="A5" s="25" t="s">
        <v>38</v>
      </c>
      <c r="B5" s="23">
        <v>8.6</v>
      </c>
      <c r="C5" s="23">
        <v>9.4</v>
      </c>
      <c r="D5" s="23">
        <v>9.6</v>
      </c>
      <c r="E5" s="23">
        <v>10.4</v>
      </c>
      <c r="F5" s="23">
        <v>8.6</v>
      </c>
      <c r="G5" s="23">
        <v>9.4</v>
      </c>
      <c r="H5" s="23">
        <v>8.6</v>
      </c>
      <c r="I5" s="23">
        <v>9.4</v>
      </c>
      <c r="J5" s="23">
        <v>8.6</v>
      </c>
      <c r="K5" s="23">
        <v>9.4</v>
      </c>
    </row>
    <row r="6" spans="1:11" ht="16.8" x14ac:dyDescent="0.3">
      <c r="A6" s="25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7.399999999999999" thickBot="1" x14ac:dyDescent="0.35">
      <c r="A7" s="26" t="s">
        <v>12</v>
      </c>
      <c r="B7" s="24">
        <f>SUM(B4:B6)</f>
        <v>19.399999999999999</v>
      </c>
      <c r="C7" s="24">
        <f t="shared" ref="C7:K7" ca="1" si="0">SUM(C4:C6)</f>
        <v>21</v>
      </c>
      <c r="D7" s="24">
        <f t="shared" ca="1" si="0"/>
        <v>20.399999999999999</v>
      </c>
      <c r="E7" s="24">
        <f t="shared" ca="1" si="0"/>
        <v>22</v>
      </c>
      <c r="F7" s="24">
        <f t="shared" ca="1" si="0"/>
        <v>19.399999999999999</v>
      </c>
      <c r="G7" s="24">
        <f t="shared" ca="1" si="0"/>
        <v>21</v>
      </c>
      <c r="H7" s="24">
        <f t="shared" ca="1" si="0"/>
        <v>19.399999999999999</v>
      </c>
      <c r="I7" s="24">
        <f t="shared" ca="1" si="0"/>
        <v>21</v>
      </c>
      <c r="J7" s="24">
        <f t="shared" ca="1" si="0"/>
        <v>19.399999999999999</v>
      </c>
      <c r="K7" s="24">
        <f t="shared" ca="1" si="0"/>
        <v>21</v>
      </c>
    </row>
    <row r="9" spans="1:11" ht="15" thickBot="1" x14ac:dyDescent="0.35"/>
    <row r="10" spans="1:11" ht="16.8" x14ac:dyDescent="0.3">
      <c r="E10" s="99" t="s">
        <v>52</v>
      </c>
      <c r="F10" s="100"/>
    </row>
    <row r="11" spans="1:11" ht="16.8" x14ac:dyDescent="0.3">
      <c r="E11" s="27" t="s">
        <v>11</v>
      </c>
      <c r="F11" s="28">
        <f ca="1">SUMIF($B$3:$K$3,"Thực tế",$B$7:$K$7)</f>
        <v>98</v>
      </c>
    </row>
    <row r="12" spans="1:11" ht="17.399999999999999" thickBot="1" x14ac:dyDescent="0.35">
      <c r="E12" s="29" t="s">
        <v>49</v>
      </c>
      <c r="F12" s="30">
        <f ca="1">SUMIF($B$3:$K$3,"Ước tính",$B$7:$K$7)</f>
        <v>106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Son Nguyen</cp:lastModifiedBy>
  <dcterms:created xsi:type="dcterms:W3CDTF">2021-04-23T08:05:10Z</dcterms:created>
  <dcterms:modified xsi:type="dcterms:W3CDTF">2025-12-15T04:03:19Z</dcterms:modified>
</cp:coreProperties>
</file>