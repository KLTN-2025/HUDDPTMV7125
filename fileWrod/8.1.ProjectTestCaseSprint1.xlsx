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4"/>
    <sheet state="hidden" name="Báo cáo kiểm tra" sheetId="2" r:id="rId5"/>
    <sheet state="visible" name="Đăng ký" sheetId="3" r:id="rId6"/>
    <sheet state="visible" name="Xác thực và tài khoản" sheetId="4" r:id="rId7"/>
    <sheet state="visible" name="Lấy lại mật khẩu" sheetId="5" r:id="rId8"/>
    <sheet state="visible" name="Quản lý thông tin cá nhân" sheetId="6" r:id="rId9"/>
    <sheet state="visible" name="Danh sách khách sạn" sheetId="7" r:id="rId10"/>
    <sheet state="visible" name="Quản lý khách sạn" sheetId="8" r:id="rId11"/>
    <sheet state="visible" name="Quản lý phòng" sheetId="9" r:id="rId12"/>
    <sheet state="visible" name="Đặt phòng và booking" sheetId="10" r:id="rId13"/>
    <sheet state="visible" name="Thanh toán" sheetId="11" r:id="rId14"/>
  </sheets>
  <externalReferences>
    <externalReference r:id="rId15"/>
  </externalReferences>
  <definedNames/>
  <calcPr/>
  <extLst>
    <ext uri="GoogleSheetsCustomDataVersion2">
      <go:sheetsCustomData xmlns:go="http://customooxmlschemas.google.com/" r:id="rId16" roundtripDataChecksum="3ApVGRlR1zMtFCEhU4+22jXaOu5GWneCOkvyHZcpacU="/>
    </ext>
  </extLst>
</workbook>
</file>

<file path=xl/sharedStrings.xml><?xml version="1.0" encoding="utf-8"?>
<sst xmlns="http://schemas.openxmlformats.org/spreadsheetml/2006/main" count="2721" uniqueCount="744">
  <si>
    <t>TEST CASE SYSTEM SPRINT 1</t>
  </si>
  <si>
    <t>Tên dự án</t>
  </si>
  <si>
    <t>ỨNG DỤNG ĐẶT PHÒNG THÔNG MINH VỚI AI SEARCH ASSISTANT VÀ GỢI Ý THEO HÀNH VI NGƯỜI DÙNG</t>
  </si>
  <si>
    <t>STT</t>
  </si>
  <si>
    <t>Chức năng</t>
  </si>
  <si>
    <t>Sheet Name</t>
  </si>
  <si>
    <t>Số lượng test</t>
  </si>
  <si>
    <t>Mô tả</t>
  </si>
  <si>
    <t>Đăng ký</t>
  </si>
  <si>
    <t>Đăng nhập</t>
  </si>
  <si>
    <t>Xác thực và tài khoản</t>
  </si>
  <si>
    <t>Đăng nhập bằng Google (OAuth2)</t>
  </si>
  <si>
    <t>Xác thực OTP qua email</t>
  </si>
  <si>
    <t>Gửi lại OTP</t>
  </si>
  <si>
    <t>Lấy lại mật khẩu</t>
  </si>
  <si>
    <t>Đăng xuất</t>
  </si>
  <si>
    <t>Quản lý thông tin cá nhân</t>
  </si>
  <si>
    <t>Xem thông tin cá nhân</t>
  </si>
  <si>
    <t>Cập nhật thông tin cá nhân</t>
  </si>
  <si>
    <t>Đổi mật khẩu</t>
  </si>
  <si>
    <t>Xem trạng thái xác thực tài khoản</t>
  </si>
  <si>
    <t>Xem danh sách khách sạn</t>
  </si>
  <si>
    <t>Danh sách khách sạn</t>
  </si>
  <si>
    <t>Tìm kiếm khách sạn</t>
  </si>
  <si>
    <t>Sắp xếp khách sạn (theo đánh giá, giá, mới nhất)</t>
  </si>
  <si>
    <t>Filter khách sạn theo thành phố</t>
  </si>
  <si>
    <t>Filter khách sạn theo ngày check-in/check-out</t>
  </si>
  <si>
    <t>Filter khách sạn theo số lượng phòng</t>
  </si>
  <si>
    <t>Phân trang danh sách khách sạn</t>
  </si>
  <si>
    <t>Xem chi tiết khách sạn</t>
  </si>
  <si>
    <t>Xem phòng</t>
  </si>
  <si>
    <t>Quản lý khách sạn</t>
  </si>
  <si>
    <t>Tạo khách sạn</t>
  </si>
  <si>
    <t>Sửa khách sạn</t>
  </si>
  <si>
    <t>Xoá khách sạn</t>
  </si>
  <si>
    <t>Upload nhiều ảnh khách sạn</t>
  </si>
  <si>
    <t>Duyệt khách sạn</t>
  </si>
  <si>
    <t>Từ chối khách sạn</t>
  </si>
  <si>
    <t>Xem tất cả khách sạn</t>
  </si>
  <si>
    <t>Tìm kiếm khách sạn trong quản lý (Admin)</t>
  </si>
  <si>
    <t>Geocoding địa chỉ khách sạn</t>
  </si>
  <si>
    <t>Geocode tất cả khách sạn (Admin)</t>
  </si>
  <si>
    <t>Quản lý phòng</t>
  </si>
  <si>
    <t>Sửa phòng</t>
  </si>
  <si>
    <t>Cập nhật giá phòng</t>
  </si>
  <si>
    <t>Cập nhật discount phòng</t>
  </si>
  <si>
    <t>Cập nhật discount tất cả phòng</t>
  </si>
  <si>
    <t>Cập nhật trạng thái phòng</t>
  </si>
  <si>
    <t>Upload ảnh phòng</t>
  </si>
  <si>
    <t>Xem lịch sử đặt phòng (theo phòng)</t>
  </si>
  <si>
    <t>Đặt phòng</t>
  </si>
  <si>
    <t>Đặt phòng và Booking</t>
  </si>
  <si>
    <t>Tạo booking với ngày không hợp lệ (validation)</t>
  </si>
  <si>
    <t>Tạo booking với phòng đã được đặt (validation)</t>
  </si>
  <si>
    <t>Tự động tạo QR code cho booking</t>
  </si>
  <si>
    <t>Xem lịch sử đặt phòng</t>
  </si>
  <si>
    <t>Phân trang lịch sử đặt phòng</t>
  </si>
  <si>
    <t>Xem thông tin booking từ QR code</t>
  </si>
  <si>
    <t>Thanh toán vnpay</t>
  </si>
  <si>
    <t>Thanh toán</t>
  </si>
  <si>
    <t>VNPay callback thành công</t>
  </si>
  <si>
    <t>VNPay callback thất bại</t>
  </si>
  <si>
    <t>Cập nhật trạng thái booking sau thanh toán</t>
  </si>
  <si>
    <t>Tạo booking transaction và phân chia doanh thu</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</si>
  <si>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</si>
  <si>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</si>
  <si>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</si>
  <si>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</si>
  <si>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</si>
  <si>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</si>
  <si>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</si>
  <si>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</si>
  <si>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</si>
  <si>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</si>
  <si>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</si>
  <si>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</si>
  <si>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</si>
  <si>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</si>
  <si>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</si>
  <si>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</si>
  <si>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</si>
  <si>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</si>
  <si>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</si>
  <si>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</si>
  <si>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</si>
  <si>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</si>
  <si>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</si>
  <si>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</si>
  <si>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</si>
  <si>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</si>
  <si>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</si>
  <si>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</si>
  <si>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</si>
  <si>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</si>
  <si>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</si>
  <si>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</si>
  <si>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</si>
  <si>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</si>
  <si>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</si>
  <si>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</si>
  <si>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</si>
  <si>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Tổng lần kiểm tra</t>
  </si>
  <si>
    <t>Round 1</t>
  </si>
  <si>
    <t>Round 2</t>
  </si>
  <si>
    <t>Test Case ID</t>
  </si>
  <si>
    <t>Quy trình</t>
  </si>
  <si>
    <t>Kết quả mong đợi</t>
  </si>
  <si>
    <t>Kết quả thực tế</t>
  </si>
  <si>
    <t>Kết quả</t>
  </si>
  <si>
    <t>Chú thích</t>
  </si>
  <si>
    <t>Trạng thái</t>
  </si>
  <si>
    <t>Ngày kiểm tra</t>
  </si>
  <si>
    <t>Người kiểm tra</t>
  </si>
  <si>
    <t>GUI_SHOW Đăng ký</t>
  </si>
  <si>
    <t>GUI-DK01</t>
  </si>
  <si>
    <t>[Nhập tên tài khoản] Textbox</t>
  </si>
  <si>
    <t xml:space="preserve"> - Text: Black
 - Status: Enable</t>
  </si>
  <si>
    <t>Passed</t>
  </si>
  <si>
    <t>13/11/2025</t>
  </si>
  <si>
    <t>Tuấn</t>
  </si>
  <si>
    <t>21/11/2025</t>
  </si>
  <si>
    <t>Toàn</t>
  </si>
  <si>
    <t>GUI-DK02</t>
  </si>
  <si>
    <t>[Nhập email] Textbox</t>
  </si>
  <si>
    <t>GUI-DK03</t>
  </si>
  <si>
    <t>[Nhập số điện thoại] Textbox</t>
  </si>
  <si>
    <t>GUI-DK04</t>
  </si>
  <si>
    <t>[Nhập mật khẩu] Textbox</t>
  </si>
  <si>
    <t>GUI-DK05</t>
  </si>
  <si>
    <t>[Nhập lại mật khẩu] Textbox</t>
  </si>
  <si>
    <t>GUI-DK06</t>
  </si>
  <si>
    <t>[Chọn vai trò] Dropdown</t>
  </si>
  <si>
    <t xml:space="preserve"> -Text: Default (ví dụ: "Khách hàng")
 -Status : enable</t>
  </si>
  <si>
    <t>Text: Default (ví dụ: "Khách hàng"); trạng thái Enable</t>
  </si>
  <si>
    <t>GUI-DK07</t>
  </si>
  <si>
    <t>[Đăng ký] Button</t>
  </si>
  <si>
    <t xml:space="preserve"> -Text color : White
 -Status : Enable
 -Background : Blue</t>
  </si>
  <si>
    <t>GUI-DK08</t>
  </si>
  <si>
    <t>[Đăng nhập ngay] Link</t>
  </si>
  <si>
    <t xml:space="preserve"> - Text: Blue
 - Status: Enable</t>
  </si>
  <si>
    <t>GUI-DK09</t>
  </si>
  <si>
    <t>[Nhập mã OTP (6 chữ số)] Textbox</t>
  </si>
  <si>
    <t>GUI-DK10</t>
  </si>
  <si>
    <t>[Xác thực] Button</t>
  </si>
  <si>
    <t>GUI-DK11</t>
  </si>
  <si>
    <t>[Gửi lại mã OTP] Link</t>
  </si>
  <si>
    <t>GUI-DK12</t>
  </si>
  <si>
    <t>[Đăng ký] Link</t>
  </si>
  <si>
    <t>GUI-DK13</t>
  </si>
  <si>
    <t>[Đăng nhập] Link</t>
  </si>
  <si>
    <t>FUNCTION_SHOW Đăng ký</t>
  </si>
  <si>
    <t>FUN-DK01</t>
  </si>
  <si>
    <t>Để trống trường "Nhập tên tài khoản"</t>
  </si>
  <si>
    <t>1. Mở giao diện Đăng ký
2. Nhập đầy đủ thông tin và để trống trường "Nhập tên tài khoản"
3. Nhấn nút "Đăng ký".</t>
  </si>
  <si>
    <t>Hiển thị thông báo: "Nhập tên tài khoản là bắt buộc" .</t>
  </si>
  <si>
    <t>FUN-DK02</t>
  </si>
  <si>
    <t>Để trống trường "Email "</t>
  </si>
  <si>
    <t>1. Mở giao diện Đăng ký
2. Nhập đầy đủ thông tin và để trống trường "Email"
3. Nhấn nút "Đăng ký".</t>
  </si>
  <si>
    <t>Hiển thị thông báo: "Email là bắt buộc" .</t>
  </si>
  <si>
    <t>FUN-DK03</t>
  </si>
  <si>
    <t>Để trống trường "Số điện thoại"</t>
  </si>
  <si>
    <t>1. Mở giao diện Đăng ký
2. Nhập đầy đủ thông tin và để trống trường "Số điện thoại"
3. Nhấn nút "Đăng ký".</t>
  </si>
  <si>
    <t>Hiển thị thông báo: "Số điện thoại là bắt buộc" .</t>
  </si>
  <si>
    <t>FUN-DK04</t>
  </si>
  <si>
    <t>Để trống trường "Mật khẩu"</t>
  </si>
  <si>
    <t>1. Mở giao diện Đăng ký
2. Nhập đầy đủ thông tin và để trống trường "Mật khẩu"
3. Nhấn nút "Đăng ký".</t>
  </si>
  <si>
    <t>Hiển thị thông báo: "Mật khẩu là bắt buộc" .</t>
  </si>
  <si>
    <t>FUN-DK05</t>
  </si>
  <si>
    <t>Để trống trường "Nhập lại mật khẩu"</t>
  </si>
  <si>
    <t>1. Mở giao diện Đăng ký
2. Nhập đầy đủ thông tin và để trống trường "Nhập lại mật khẩu"
3. Nhấn nút "Đăng ký".</t>
  </si>
  <si>
    <t>Hiển thị thông báo: "Xác nhận mật khẩu là bắt buộc" .</t>
  </si>
  <si>
    <t>FUN-DK06</t>
  </si>
  <si>
    <t>Để trống trường "Mật khẩu và nhập lại mật khẩu"</t>
  </si>
  <si>
    <t>1. Mở giao diện Đăng ký
2. Nhập đầy đủ thông tin và để trống trường "Mật khẩu và nhập lại mật khẩu"
3. Nhấn nút "Đăng ký".</t>
  </si>
  <si>
    <t>Hiển thị thông báo: "Mật khẩu là bắt buộc" , "Xác nhận mật khẩu là bắt buộc" .</t>
  </si>
  <si>
    <t>FUN-DK07</t>
  </si>
  <si>
    <t>Nhập số điện thoại quá ngắn(sai)</t>
  </si>
  <si>
    <t>1. Mở giao diện Đăng ký
2. Nhập đầy đủ thông tin và nhập trường "Số điện thoại" bằng chữ
3. Nhấn nút "Đăng ký".</t>
  </si>
  <si>
    <t>Hiển thị thông báo: "Số điện thoại phải có 9 hoặc 10 chữ số"  .</t>
  </si>
  <si>
    <t>FUN-DK08</t>
  </si>
  <si>
    <t>Nhập số điện thoại bằng chữ</t>
  </si>
  <si>
    <t>1. Mở giao diện Đăng ký
2. Nhập đầy đủ thông tin và nhập trường "Email" không có ký tự "@"
3. Nhấn nút "Đăng ký".</t>
  </si>
  <si>
    <t>Ô số điện thoại chỉ cho phép nhập số không nhập được chữ.</t>
  </si>
  <si>
    <t>FUN-DK09</t>
  </si>
  <si>
    <t>Nhập Email sai định dạng</t>
  </si>
  <si>
    <t>1. Mở giao diện Đăng ký
2. Nhập đầy đủ thông tin và nhập trường "Email" nhập vào email đã được sử dụng để đăng ký
3. Nhấn nút "Đăng ký".</t>
  </si>
  <si>
    <t>Hiển thị thông báo: "Vui lòng thêm @ vào địa chỉ email"  .</t>
  </si>
  <si>
    <t>FUN-DK10</t>
  </si>
  <si>
    <t>Nhập Email đã được sử dụng trước đó</t>
  </si>
  <si>
    <t>1. Mở giao diện Đăng ký
2. Nhập đầy đủ thông tin và nhập trường "Số điện thoại" dưới 9 chữ số
3. Nhấn nút "Đăng ký".</t>
  </si>
  <si>
    <t>Hiển thị thông báo: "Email đã tồn tại"  .</t>
  </si>
  <si>
    <t>FUN-DK11</t>
  </si>
  <si>
    <t>Nhập mật khẩu quá ngắn</t>
  </si>
  <si>
    <t>1. Mở giao diện Đăng ký
2. Nhập đầy đủ thông tin và nhập trường "Mật khẩu" dưới 6 ký tự
3. Nhấn nút "Đăng ký".</t>
  </si>
  <si>
    <t>Hiển thị thông báo: "Mật khẩu phải có ít nhất 6 ký tự"  .</t>
  </si>
  <si>
    <t>FUN-DK12</t>
  </si>
  <si>
    <t>Gửi thông tin đăng ký thành công</t>
  </si>
  <si>
    <t>1. Mở giao diện Đăng ký
2. Nhập đầy đủ thông tin
3. Nhấn nút "Đăng ký".
4. Hiển thị trang Xác thực email</t>
  </si>
  <si>
    <t>Hiển thị trang "Xác thực Email"</t>
  </si>
  <si>
    <t>FUN-DK13</t>
  </si>
  <si>
    <t>Nhập sai mã OTP bằng chữ</t>
  </si>
  <si>
    <t>1. Mở giao diện Đăng ký
2. Nhập đầy đủ thông tin
3. Nhấn nút "Đăng ký".
4. Hiển thị trang Xác thực email
5. Nhập OTP bằng chữ</t>
  </si>
  <si>
    <t>Ô OTP cho phép nhập số không nhập được chữ.</t>
  </si>
  <si>
    <t>FUN-DK14</t>
  </si>
  <si>
    <t>Nhập sai mã OTP</t>
  </si>
  <si>
    <t>1. Mở giao diện Đăng ký
2. Nhập đầy đủ thông tin
3. Nhấn nút "Đăng ký".
4. Hiển thị trang Xác thực email
5. Nhập OTP không đúng với mã được gửi về email</t>
  </si>
  <si>
    <t>Hiển thị thông báo "OTP sai hoặc đã hết hạn"</t>
  </si>
  <si>
    <t>FUN-DK15</t>
  </si>
  <si>
    <t>Nhập mã OTP dưới 6 chữ số</t>
  </si>
  <si>
    <t>1. Mở giao diện Đăng ký
2. Nhập đầy đủ thông tin
3. Nhấn nút "Đăng ký".
4. Hiển thị trang Xác thực email
5. Nhập OTP dưới 6 chữ số</t>
  </si>
  <si>
    <t>Button Xác thực không cho phép click</t>
  </si>
  <si>
    <t>FUN-DK16</t>
  </si>
  <si>
    <t>1. Mở giao diện Đăng ký
2. Nhập đầy đủ thông tin
3. Nhấn nút "Đăng ký".
4. Hiển thị trang Xác thực email
5. Click vào gửi lại mã OTP</t>
  </si>
  <si>
    <t>Nhận OTP thành công qua Email</t>
  </si>
  <si>
    <t>FUN-DK17</t>
  </si>
  <si>
    <t>Đăng ký thành công</t>
  </si>
  <si>
    <t>1. Mở giao diện Đăng ký
2. Nhập đầy đủ thông tin
3. Nhấn nút "Đăng ký".
4. Hiển thị trang Xác thực email
5. Nhập OTP được gửi về email
6. Nhấn nút xác thực</t>
  </si>
  <si>
    <t>Hiển thị thông báo: "Xác thực email thành công , bạn có thể đăng nhập ngay "  .</t>
  </si>
  <si>
    <t>Bị chăn</t>
  </si>
  <si>
    <t>Tổng số trường hợp thử nghiệm</t>
  </si>
  <si>
    <t>Hành động</t>
  </si>
  <si>
    <t>Điều kiện tiên quyết</t>
  </si>
  <si>
    <t>GUI_SHOW Xác thực và tài khoản</t>
  </si>
  <si>
    <t>GUI-XTTK01</t>
  </si>
  <si>
    <t>[ Đăng Nhập] Button</t>
  </si>
  <si>
    <t>GUI-XTTK02</t>
  </si>
  <si>
    <t>[Nhập tài khoản] Textbox</t>
  </si>
  <si>
    <t>GUI-XTTK03</t>
  </si>
  <si>
    <t>[Nhập Mật Khẩu] Textbox</t>
  </si>
  <si>
    <t>GUI-XTTK04</t>
  </si>
  <si>
    <t>[Quên mật khẩu]Link</t>
  </si>
  <si>
    <t>GUI-XTTK05</t>
  </si>
  <si>
    <t>[Đăng nhập với tài khoản Google] Button</t>
  </si>
  <si>
    <t xml:space="preserve"> -Text color : Black
 -Status : Enable
 -Background : White</t>
  </si>
  <si>
    <t>GUI-XTTK06</t>
  </si>
  <si>
    <t>[Đăng ký ngay] Link</t>
  </si>
  <si>
    <t>FUNCTION_SHOW Xác thực và tài khoản</t>
  </si>
  <si>
    <t>FUNC-XTTK01</t>
  </si>
  <si>
    <t>Đăng nhập thành công vào vai trò khách hàng</t>
  </si>
  <si>
    <t>1. Nhập tài khoản và mật khấu của admin
2. Click "Đăng Nhập".</t>
  </si>
  <si>
    <t>Truy cập vào hệ thống</t>
  </si>
  <si>
    <t>Đi đến trang "Admin Dashboard"</t>
  </si>
  <si>
    <t>FUNC-XTTK02</t>
  </si>
  <si>
    <t>Đăng nhập thành công vào trang admin</t>
  </si>
  <si>
    <t>1. Nhập tài khoản và mật khấu
2. Click "Đăng Nhập".</t>
  </si>
  <si>
    <t>Đi đến trang "Hotels"</t>
  </si>
  <si>
    <t>FUNC-XTTK03</t>
  </si>
  <si>
    <t>Đăng nhập thất bại khi điền sai Username hoặc Password</t>
  </si>
  <si>
    <t xml:space="preserve">1. Nhập tài khoản hoặc mật khẩu sai
2. Click "Đăng Nhập".
</t>
  </si>
  <si>
    <t>Hệ thống thông báo lỗi : "Đăng nhập không thành công. Vui lòng kiểm tra lại tài khoản và mật khẩu."</t>
  </si>
  <si>
    <t>FUNC-XTTK04</t>
  </si>
  <si>
    <t>Để trống trường "Mật khẩu".</t>
  </si>
  <si>
    <t xml:space="preserve">1 .Nhập tên tài khoản
2. Không nhập dữ liệu trường "Nhập Mật Khẩu".
3. Click "Đăng Nhập".
</t>
  </si>
  <si>
    <t>Thông báo lỗi : "Mật khẩu là bắt buộc"</t>
  </si>
  <si>
    <t>FUNC-XTTK05</t>
  </si>
  <si>
    <t xml:space="preserve">Để trống trường "Nhập tài khoản" </t>
  </si>
  <si>
    <t xml:space="preserve">1. Để trông trường "Nhập tài khoản"
</t>
  </si>
  <si>
    <t>Hệ thống thông báo lỗi : "Tài khoản là bắt buộc".</t>
  </si>
  <si>
    <t>FUNC-XTTK06</t>
  </si>
  <si>
    <t>Để trống tất cả các trường dữ liêu</t>
  </si>
  <si>
    <t xml:space="preserve">1 .Không nhập dữ liệu trường "Nhập tài khoản"
2. Không nhập dữ liệu trường "Nhập Mật Khẩu".
3. Click "Đăng Nhập".
</t>
  </si>
  <si>
    <t>Hệ thống thông báo :" Tài khoản là bắt buộc , Mật khẩu là bắt buộc "</t>
  </si>
  <si>
    <t>FUNC-XTTK07</t>
  </si>
  <si>
    <t>Gửi mã OTP thành công</t>
  </si>
  <si>
    <t xml:space="preserve">1. Nhập email vào " Nhập email của bạn"
</t>
  </si>
  <si>
    <t>Gửi OTP Thành Công</t>
  </si>
  <si>
    <t>FUNC-XTTK08</t>
  </si>
  <si>
    <t>Click vào Quên mật khẩu chuyển sang trang Quên Mật Khẩu</t>
  </si>
  <si>
    <t xml:space="preserve">1. Click "Quên mật khẩu ".
</t>
  </si>
  <si>
    <t>Chuyển sang trang Quên Mật Khẩu</t>
  </si>
  <si>
    <t xml:space="preserve">Chuyển sang trang Quên Mật Khẩu </t>
  </si>
  <si>
    <t>FUNC-XTTK09</t>
  </si>
  <si>
    <t>Click vào "Đăng nhập bằng Google"</t>
  </si>
  <si>
    <t xml:space="preserve">1. Click "Đăng nhập với tài khoản Google ".
</t>
  </si>
  <si>
    <t>Chuyển sang trang Đăng nhập bằng Google</t>
  </si>
  <si>
    <t>FUNC-XTTK10</t>
  </si>
  <si>
    <t>Đăng nhập bằng tài khoản Google thành công bằng tài khoản có sẵn</t>
  </si>
  <si>
    <t>1. Click "Đăng nhập với tài khoản Google ".
2. Click vào "sử dụng một tài khoản khác"</t>
  </si>
  <si>
    <t>Đăng nhập thành công và chuyển vào trang "Hotels</t>
  </si>
  <si>
    <t>FUNC-XTTK11</t>
  </si>
  <si>
    <t>Đăng nhập bằng tài khoản Google thành công</t>
  </si>
  <si>
    <t>1. Click "Đăng nhập với tài khoản Google ".
2. Chọn 1 tài khoản Google có sẵn 
3. Nhập Email và Mật Khẩu</t>
  </si>
  <si>
    <t>GUI_SHOW Lấy lại mật khẩu</t>
  </si>
  <si>
    <t>GUI-LLMK01</t>
  </si>
  <si>
    <t>[Nhập email của bạn] Textbox</t>
  </si>
  <si>
    <t>GUI-LLMK02</t>
  </si>
  <si>
    <t>[Gửi mã OTP] Button</t>
  </si>
  <si>
    <t>GUI-LLMK03</t>
  </si>
  <si>
    <t>GUI-LLMK04</t>
  </si>
  <si>
    <t>[Nhập mã OTP(6 chữ số)] Textbox</t>
  </si>
  <si>
    <t>GUI-LLMK05</t>
  </si>
  <si>
    <t>[Xác thực OTP] Button</t>
  </si>
  <si>
    <t>GUI-LLMK06</t>
  </si>
  <si>
    <t>[Quay lại đăng nhập] Link</t>
  </si>
  <si>
    <t>GUI-LLMK07</t>
  </si>
  <si>
    <t>[Nhập mật khẩu mới (tối thiểu 6 ký tự)] Textbox</t>
  </si>
  <si>
    <t xml:space="preserve"> - Icon: White
 - Status: Enable</t>
  </si>
  <si>
    <t>GUI-LLMK08</t>
  </si>
  <si>
    <t>[Nhập lại mật khẩu mới] Textbox</t>
  </si>
  <si>
    <t>GUI-LLMK09</t>
  </si>
  <si>
    <t>[Đổi Mật Khẩu] Button</t>
  </si>
  <si>
    <t>GUI-LLMK10</t>
  </si>
  <si>
    <t>FUNCTION_SHOW Lấy lại mật khẩu</t>
  </si>
  <si>
    <t>FUN-LLMK01</t>
  </si>
  <si>
    <t>Nhập email sai định dạng</t>
  </si>
  <si>
    <t>1. Mở giao diện Quên mật khẩu
2. Nhập Email không có ký tự "@"
3. Nhấn nút "Gửi mã OTP".</t>
  </si>
  <si>
    <t>FUN-LLMK02</t>
  </si>
  <si>
    <t>Nhận được mã OTP gửi về Email</t>
  </si>
  <si>
    <t>1. Mở giao diện Quên mật khẩu
2. Nhập Email đã dùng để đăng ký
3. Nhấn nút "Gửi mã OTP".</t>
  </si>
  <si>
    <t>Mã OTP được gửi về email và chuyển đến trang xác thực OTP</t>
  </si>
  <si>
    <t>FUN-LLMK03</t>
  </si>
  <si>
    <t>1. Mở giao diện Quên mật khẩu
2. Nhập Email đã dùng để đăng ký
3. Nhấn nút "Gửi mã OTP".
4. Nhập mã OTP bằng chữ</t>
  </si>
  <si>
    <t>Nút "Xác thực OTP" không cho phép click</t>
  </si>
  <si>
    <t>FUN-LLMK04</t>
  </si>
  <si>
    <t xml:space="preserve">1. Mở giao diện Quên mật khẩu
2. Nhập Email đã dùng để đăng ký
3. Nhấn nút "Gửi mã OTP".
4. Nhập mã OTP dưới 6 chữ số </t>
  </si>
  <si>
    <t>FUN-LLMK05</t>
  </si>
  <si>
    <t>1. Mở giao diện Quên mật khẩu
2. Nhập Email đã dùng để đăng ký
3. Nhấn nút "Gửi mã OTP".
4. Nhập mã OTP khác với mã được gửi về email</t>
  </si>
  <si>
    <t>FUN-LLMK06</t>
  </si>
  <si>
    <t>Nhập mã OTP đúng với mã được gửi về email</t>
  </si>
  <si>
    <t>1. Mở giao diện Quên mật khẩu
2. Nhập Email đã dùng để đăng ký
3. Nhấn nút "Gửi mã OTP".
4. Nhập mã OTP giống với mã được gửi về email</t>
  </si>
  <si>
    <t>Chuyển đến trang " Đặt Lại Mật Khẩu"</t>
  </si>
  <si>
    <t>FUN-LLMK07</t>
  </si>
  <si>
    <t>Nhập mật khẩu mới dưới 6 ký tự</t>
  </si>
  <si>
    <t>1. Mở giao diện Quên mật khẩu
2. Nhập Email đã dùng để đăng ký
3. Nhấn nút "Gửi mã OTP".
4. Nhập mã OTP giống với mã được gửi về email
5. Nhập Mật khẩu mới dưới 6 ký tự
6. Nhập Xác nhận mật khẩu dưới 6 ký tự
7. Click vào "Đổi Mật Khẩu"</t>
  </si>
  <si>
    <t>FUN-LLMK08</t>
  </si>
  <si>
    <t>Nhập lại mật khẩu khác với mật khẩu ở trên</t>
  </si>
  <si>
    <t>1. Mở giao diện Quên mật khẩu
2. Nhập Email đã dùng để đăng ký
3. Nhấn nút "Gửi mã OTP".
4. Nhập mã OTP giống với mã được gửi về email
5. Nhập Mật khẩu mới 
6. Nhập Xác nhận mật khẩu khác với mật khẩu mới
7. Click vào "Đổi Mật Khẩu"</t>
  </si>
  <si>
    <t>Hiển thị thông báo: "Mật khẩu xác nhận không khớp"  .</t>
  </si>
  <si>
    <t>FUN-LLMK09</t>
  </si>
  <si>
    <t>Để trống trường "Mật khẩu mới"</t>
  </si>
  <si>
    <t>1. Mở giao diện Quên mật khẩu
2. Nhập Email đã dùng để đăng ký
3. Nhấn nút "Gửi mã OTP".
4. Nhập mã OTP giống với mã được gửi về email
5. Để trống trường "Mật khẩu mới" 
6. Nhập Xác nhận mật khẩu 
7. Click vào "Đổi Mật Khẩu"</t>
  </si>
  <si>
    <t>Hiển thị thông báo: "Mật khẩu mới là bắt buộc" .</t>
  </si>
  <si>
    <t>FUN-LLMK10</t>
  </si>
  <si>
    <t>Để trống trường "Xác nhận mật khẩu"</t>
  </si>
  <si>
    <t>1. Mở giao diện Quên mật khẩu
2. Nhập Email đã dùng để đăng ký
3. Nhấn nút "Gửi mã OTP".
4. Nhập mã OTP giống với mã được gửi về email
5. Nhập Mật khẩu mới 
6. Để trống trường "Xác nhận mật khẩu" 
7. Click vào "Đổi Mật Khẩu"</t>
  </si>
  <si>
    <t>Hiển thị thông báo: "Xác nhận mật khẩu mới là bắt buộc" .</t>
  </si>
  <si>
    <t>FUN-LLMK11</t>
  </si>
  <si>
    <t>Để trống trường "Mật khẩu mới và Xác nhận mật khẩu"</t>
  </si>
  <si>
    <t>1. Mở giao diện Quên mật khẩu
2. Nhập Email đã dùng để đăng ký
3. Nhấn nút "Gửi mã OTP".
4. Nhập mã OTP giống với mã được gửi về email
5. Để trống trường "Mật khẩu mới" 
6. Để trống trường "Xác nhận mật khẩu" 
7. Click vào "Đổi Mật Khẩu"</t>
  </si>
  <si>
    <t>Hiển thị thông báo: "Mật khẩu mới là bắt buộc" và "Xác nhận mật khẩu mới là bắt buộc" .</t>
  </si>
  <si>
    <t>FUN-LLMK12</t>
  </si>
  <si>
    <t>Nhập "Mật khẩu mới" và "Xác nhận mật khẩu" giống nhau</t>
  </si>
  <si>
    <t>1. Mở giao diện Quên mật khẩu
2. Nhập Email đã dùng để đăng ký
3. Nhấn nút "Gửi mã OTP".
4. Nhập mã OTP giống với mã được gửi về email
5. Nhập Mật khẩu mới 
6. Nhập Xác nhận mật khẩu giống với mật khẩu mới
7. Click vào "Đổi Mật Khẩu"</t>
  </si>
  <si>
    <t>Hiển thị thông báo: "Đổi mật khẩu thành công vui lòng đăng nhập lại" .</t>
  </si>
  <si>
    <t>GUI_SHOW Quản lý thông tin cá nhân</t>
  </si>
  <si>
    <t>GUI-QLTTCN01</t>
  </si>
  <si>
    <t>[Khách hàng] Dropdown</t>
  </si>
  <si>
    <t>20/11/2025</t>
  </si>
  <si>
    <t>Long</t>
  </si>
  <si>
    <t>GUI-QLTTCN02</t>
  </si>
  <si>
    <t>[Thông tin cá nhân] Link</t>
  </si>
  <si>
    <t xml:space="preserve"> -Text color : black
 -Status : Enable
 -Background : White</t>
  </si>
  <si>
    <t>GUI-QLTTCN03</t>
  </si>
  <si>
    <t>[Đăng xuất] Button</t>
  </si>
  <si>
    <t xml:space="preserve"> -Text color : Red
 -Status : Enable
 -Background : White</t>
  </si>
  <si>
    <t>GUI-QLTTCN04</t>
  </si>
  <si>
    <t>[Tên người dùng] Textbox</t>
  </si>
  <si>
    <t>GUI-QLTTCN05</t>
  </si>
  <si>
    <t>[Email] Textbox</t>
  </si>
  <si>
    <t>GUI-QLTTCN06</t>
  </si>
  <si>
    <t>[Số điện thoại] Textbox</t>
  </si>
  <si>
    <t>GUI-QLTTCN07</t>
  </si>
  <si>
    <t>[Cập nhật thông tin] Button</t>
  </si>
  <si>
    <t>GUI-QLTTCN08</t>
  </si>
  <si>
    <t>[Mật khẩu cũ] Textbox</t>
  </si>
  <si>
    <t>GUI-QLTTCN09</t>
  </si>
  <si>
    <t>[Mật khẩu mới] Textbox</t>
  </si>
  <si>
    <t>GUI-QLTTCN10</t>
  </si>
  <si>
    <t>[Xác nhận mật khẩu mới Textbox</t>
  </si>
  <si>
    <t>GUI-QLTTCN11</t>
  </si>
  <si>
    <t>[Đổi mật khẩu] Button</t>
  </si>
  <si>
    <t>FUNCTION_SHOW Quản lý thông tin cá nhân</t>
  </si>
  <si>
    <t>FUN-QLTTCN01</t>
  </si>
  <si>
    <t>1. Truy cập vào hệ thống
2. Click vào "Khách hàng"
3. Click vào "Đăng xuất".</t>
  </si>
  <si>
    <t xml:space="preserve">Đăng xuất thành công </t>
  </si>
  <si>
    <t>FUN-QLTTCN02</t>
  </si>
  <si>
    <t>Vào trang thông tinh cá nhân</t>
  </si>
  <si>
    <t>1. Truy cập vào hệ thống
2. Click vào "Khách hàng"
3. Click vào "Thông tin cá nhân".</t>
  </si>
  <si>
    <t>Đi đến trang "Thông tin cá nhân"</t>
  </si>
  <si>
    <t>FUN-QLTTCN03</t>
  </si>
  <si>
    <t>Đổi tên người dùng</t>
  </si>
  <si>
    <t>1. Truy cập vào hệ thống
2. Click vào "Khách hàng"
3. Click vào "Thông tin cá nhân".
4. Nhập "Tên người dùng mới"
5. Click vào "Cập nhật thông tin".</t>
  </si>
  <si>
    <t>Hiển thị thông báo "Cập nhật thông tin thành công"</t>
  </si>
  <si>
    <t>FUN-QLTTCN04</t>
  </si>
  <si>
    <t>Đổi Email người dùng</t>
  </si>
  <si>
    <t>1. Truy cập vào hệ thống
2. Click vào "Khách hàng"
3. Click vào "Thông tin cá nhân".
4. Nhập "Email mới"
5. Click vào "Cập nhật thông tin".</t>
  </si>
  <si>
    <t>FUN-QLTTCN05</t>
  </si>
  <si>
    <t>Đổi số điện thoại người dùng</t>
  </si>
  <si>
    <t>1. Truy cập vào hệ thống
2. Click vào "Khách hàng"
3. Click vào "Thông tin cá nhân".
4. Không có gì thay đổi
5. Click vào "Cập nhật thông tin".</t>
  </si>
  <si>
    <t>FUN-QLTTCN06</t>
  </si>
  <si>
    <t>Cập nhật thông tin khi không có gì thay đổi</t>
  </si>
  <si>
    <t>1. Truy cập vào hệ thống
2. Click vào "Khách hàng"
3. Click vào "Thông tin cá nhân".
4. Nhập "Số điện thoại mới"
5. Click vào "Cập nhật thông tin".</t>
  </si>
  <si>
    <t>Hiển thị thông báo "Không thế cập nhật thông tin. Vui lòng thử lại sau"</t>
  </si>
  <si>
    <t>FUN-QLTTCN07</t>
  </si>
  <si>
    <t>Cập nhật thông tin khi để trống tên người dùng</t>
  </si>
  <si>
    <t>1. Truy cập vào hệ thống
2. Click vào "Khách hàng"
3. Click vào "Thông tin cá nhân".
4. Xoá dòng "Tên người dùng"
5. Click vào "Cập nhật thông tin".</t>
  </si>
  <si>
    <t>Hiển thị thông báo "Tên người dùng là bắt buộc"</t>
  </si>
  <si>
    <t>FUN-QLTTCN08</t>
  </si>
  <si>
    <t>Cập nhật thông tin khi để trống email</t>
  </si>
  <si>
    <t>1. Truy cập vào hệ thống
2. Click vào "Khách hàng"
3. Click vào "Thông tin cá nhân".
4. Xoá dòng "Email"
5. Click vào "Cập nhật thông tin".</t>
  </si>
  <si>
    <t>Hiển thị thông báo "Email là bắt buộc"</t>
  </si>
  <si>
    <t>FUN-QLTTCN09</t>
  </si>
  <si>
    <t>Cập nhật thông tin khi để trống số điện thoại</t>
  </si>
  <si>
    <t>1. Truy cập vào hệ thống
2. Click vào "Khách hàng"
3. Click vào "Thông tin cá nhân".
4. Xoá dòng "Số điện thoại"
5. Click vào "Cập nhật thông tin".</t>
  </si>
  <si>
    <t>Hiển thị thông báo "Số điện thoại là bắt buộc"</t>
  </si>
  <si>
    <t>FUN-QLTTCN10</t>
  </si>
  <si>
    <t>Vào trang đổi mật khẩu</t>
  </si>
  <si>
    <t>1. Truy cập vào hệ thống
2. Click vào "Khách hàng"
3. Click vào "Thông tin cá nhân".
4. Click vào "Đổi mật khẩu"</t>
  </si>
  <si>
    <t>Đi đến trang "Đổi mật khẩu"</t>
  </si>
  <si>
    <t>FUN-QLTTCN11</t>
  </si>
  <si>
    <t>Đổi mật khẩu khi để trống trường "Mật khẩu cũ"</t>
  </si>
  <si>
    <t>1. Truy cập vào hệ thống
2. Click vào "Khách hàng"
3. Click vào "Thông tin cá nhân".
4. Click vào "Đổi mật khẩu"
5. Để trống trường " Mật khẩu cũ"
6. Nhập "Mật khẩu mới" và "Xác nhận mật khẩu mới" 
7. Click vào "Đổi mật khẩu</t>
  </si>
  <si>
    <t>Hiển thị thông báo "Mật khẩu cũ là bắt buộc"</t>
  </si>
  <si>
    <t>FUN-QLTTCN12</t>
  </si>
  <si>
    <t>Đổi mật khẩu khi để trống trường "Mật khẩu mới"</t>
  </si>
  <si>
    <t>1. Truy cập vào hệ thống
2. Click vào "Khách hàng"
3. Click vào "Thông tin cá nhân".
4. Click vào "Đổi mật khẩu"
5. Để trống trường " Mật khẩu mới"
6. Nhập "Mật khẩu cũ" 
7. Click vào "Đổi mật khẩu</t>
  </si>
  <si>
    <t>Hiển thị thông báo "Mật khẩu mới là bắt buộc" và "Mật khẩu xác nhận không khớp"</t>
  </si>
  <si>
    <t>FUN-QLTTCN13</t>
  </si>
  <si>
    <t>Đổi mật khẩu khi để trống trường "Xác nhận mật khẩu mới"</t>
  </si>
  <si>
    <t>1. Truy cập vào hệ thống
2. Click vào "Khách hàng"
3. Click vào "Thông tin cá nhân".
4. Click vào "Đổi mật khẩu"
5. Để trống trường " Xác nhận mật khẩu mới"
6. Nhập "Mật khẩu cũ" và "Mật khẩu mới"
7. Click vào "Đổi mật khẩu</t>
  </si>
  <si>
    <t>Hiển thị thông báo "Xác nhận mật khẩu là bắt buộc"</t>
  </si>
  <si>
    <t>FUN-QLTTCN14</t>
  </si>
  <si>
    <t>Đổi mật khẩu thành công</t>
  </si>
  <si>
    <t>1. Truy cập vào hệ thống
2. Click vào "Khách hàng"
3. Click vào "Thông tin cá nhân".
4. Click vào "Đổi mật khẩu"
5. Nhập " Mật khẩu cũ"
6. Nhập "Mật khẩu mới" và "Xác nhận mật khẩu mới" 
7. Click vào "Đổi mật khẩu</t>
  </si>
  <si>
    <t>Hiển thị thông báo "Đổi mật khẩu thành công"</t>
  </si>
  <si>
    <t>GUI_SHOW Danh sách khách sạn</t>
  </si>
  <si>
    <t>GUI-DSKS01</t>
  </si>
  <si>
    <t>[Tìm kiếm khách sạn theo tên hoặc địa chỉ...] Textbox</t>
  </si>
  <si>
    <t>Đăng nhập thành công vào hệ thống</t>
  </si>
  <si>
    <t xml:space="preserve"> -Text color : black
 -Status : enable</t>
  </si>
  <si>
    <t>16/11/2025</t>
  </si>
  <si>
    <t>Giỏi</t>
  </si>
  <si>
    <t>GUI-DSKS02</t>
  </si>
  <si>
    <t>[Thành phố] Dropdown</t>
  </si>
  <si>
    <t xml:space="preserve"> -Text: Default (ví dụ: "Thành phố")
 -Status : enable</t>
  </si>
  <si>
    <t>GUI-DSKS03</t>
  </si>
  <si>
    <t>[Ngày đến(Check-in)] Date picker</t>
  </si>
  <si>
    <t>GUI-DSKS04</t>
  </si>
  <si>
    <t>[Ngày đi(Check-out)] Date picker</t>
  </si>
  <si>
    <t>GUI-DSKS05</t>
  </si>
  <si>
    <t>[Số phòng]Number input</t>
  </si>
  <si>
    <t>GUI-DSKS06</t>
  </si>
  <si>
    <t xml:space="preserve">[Tìm] Button </t>
  </si>
  <si>
    <t>GUI-DSKS07</t>
  </si>
  <si>
    <t xml:space="preserve">[Khuyến khích] Button </t>
  </si>
  <si>
    <t xml:space="preserve"> -Text color : Black
 -Status : Enable
 -Background : Gray</t>
  </si>
  <si>
    <t>GUI-DSKS08</t>
  </si>
  <si>
    <t xml:space="preserve">[Đánh giá hàng đầu] Button </t>
  </si>
  <si>
    <t>GUI-DSKS09</t>
  </si>
  <si>
    <t xml:space="preserve">[Giá cao nhất] Button </t>
  </si>
  <si>
    <t>GUI-DSKS10</t>
  </si>
  <si>
    <t xml:space="preserve">[Giá thấp nhất] Button </t>
  </si>
  <si>
    <t>GUI-DSKS11</t>
  </si>
  <si>
    <t xml:space="preserve">[Nhiều sao nhất] Button </t>
  </si>
  <si>
    <t>GUI-DSKS12</t>
  </si>
  <si>
    <t xml:space="preserve">[Gần nhất đầu tiên] Button </t>
  </si>
  <si>
    <t>GUI-DSKS13</t>
  </si>
  <si>
    <t xml:space="preserve">[Xem chi tiết] Button </t>
  </si>
  <si>
    <t>GUI-DSKS14</t>
  </si>
  <si>
    <t xml:space="preserve">[Trước] Button </t>
  </si>
  <si>
    <t>GUI-DSKS15</t>
  </si>
  <si>
    <t xml:space="preserve">[Số Trang] Button </t>
  </si>
  <si>
    <t>GUI-DSKS16</t>
  </si>
  <si>
    <t xml:space="preserve">[Sau] Button </t>
  </si>
  <si>
    <t>FUNCTION_SHOW Danh sách khách sạn</t>
  </si>
  <si>
    <t>FUNC-DSKS01</t>
  </si>
  <si>
    <t xml:space="preserve">1. Đăng nhập trang web.
2 .Click vào Hotels
</t>
  </si>
  <si>
    <t>Hiển thị danh sách khách sạn</t>
  </si>
  <si>
    <t>FUNC-DSKS02</t>
  </si>
  <si>
    <t>Tìm kiếm khách sạn theo tên</t>
  </si>
  <si>
    <t>1. Đăng nhập trang web.
2 .Click vào Hotels
3. Nhập tên khách sạn
4. Click vào Tìm</t>
  </si>
  <si>
    <t>Hiển thị khách sạn cần tìm</t>
  </si>
  <si>
    <t>FUNC-DSKS03</t>
  </si>
  <si>
    <t>Tìm kiếm khách sạn theo địa chỉ</t>
  </si>
  <si>
    <t>1. Đăng nhập trang web.
2 .Click vào Hotels
3. Chọn thành phố cần tìm khách sạn
4. Click vào "Tìm"</t>
  </si>
  <si>
    <t>Hiển thị danh sách khách sạn ở địa chỉ cần tìm</t>
  </si>
  <si>
    <t>FUNC-DSKS04</t>
  </si>
  <si>
    <t>Sắp xếp khách sạn theo "Khuyến khích"</t>
  </si>
  <si>
    <t>1. Đăng nhập trang web.
2 .Click vào Hotels
3. Click vào "Khuyến khích"</t>
  </si>
  <si>
    <t xml:space="preserve">Hiển thị danh sách khách sạn theo khuyến khích </t>
  </si>
  <si>
    <t>FUNC-DSKS05</t>
  </si>
  <si>
    <t>Sắp xếp khách sạn theo "Đánh giá hàng đầu"</t>
  </si>
  <si>
    <t>1. Đăng nhập trang web.
2 .Click vào Hotels
3. Click vào "Đánh giá hàng đầu"</t>
  </si>
  <si>
    <t>Hiển thị danh sách khách sạn theo đánh giá bắt đầu từ những khách sạn được đánh giá tốt nhất</t>
  </si>
  <si>
    <t>FUNC-DSKS06</t>
  </si>
  <si>
    <t>Sắp xếp khách sạn theo "Giá cao nhất"</t>
  </si>
  <si>
    <t>1. Đăng nhập trang web.
2 .Click vào Hotels
3. Click vào "Giá cao nhất"</t>
  </si>
  <si>
    <t>Hiển thị danh sách khách sạn theo "Giá cao nhất" trước</t>
  </si>
  <si>
    <t>FUNC-DSKS07</t>
  </si>
  <si>
    <t>Sắp xếp khách sạn theo "Giá thấp nhất"</t>
  </si>
  <si>
    <t>1. Đăng nhập trang web.
2 .Click vào Hotels
3. Click vào "Giá thấp nhất"</t>
  </si>
  <si>
    <t>Hiển thị danh sách khách sạn theo "Giá thấpnhất" trước</t>
  </si>
  <si>
    <t>FUNC-DSKS08</t>
  </si>
  <si>
    <t>Sắp xếp khách sạn theo "Nhiều sao nhất"</t>
  </si>
  <si>
    <t>1. Đăng nhập trang web.
2 .Click vào Hotels
3. Click vào "Nhiều sao nhất"</t>
  </si>
  <si>
    <t>Hiển thị danh sách khách sạn theo "đánh giá nhiều sao nhất" trước</t>
  </si>
  <si>
    <t>FUNC-DSKS09</t>
  </si>
  <si>
    <t>Sắp xếp khách sạn theo "Gần nhất đầu tiên"</t>
  </si>
  <si>
    <t>1. Đăng nhập trang web.
2 .Click vào Hotels
3. Click vào "Gần nhất đầu tiên"</t>
  </si>
  <si>
    <t>Hiển thị danh sách khách sạn theo "địa chỉ gần nhất" trước</t>
  </si>
  <si>
    <t>FUNC-DSKS10</t>
  </si>
  <si>
    <t>1. Đăng nhập trang web.
2 .Click vào Hotels
3. Chọn ngày check-in và ngày check-out
4. Click vào "Tìm"</t>
  </si>
  <si>
    <t>Hiển thị danh sách khách sạn còn phòng trống theo thời gian check-in/check-out</t>
  </si>
  <si>
    <t>FUNC-DSKS11</t>
  </si>
  <si>
    <t>1. Đăng nhập trang web.
2 .Click vào Hotels
3. Chọn số phòng trống cần tìm 
4. Click vào "Tìm"</t>
  </si>
  <si>
    <t>Hiển thị danh sách khách sạn còn trống số phòng đã nhập vào</t>
  </si>
  <si>
    <t>FUNC-DSKS12</t>
  </si>
  <si>
    <t>1. Đăng nhập trang web.
2 .Click vào Hotels
3. Kéo xuống dưới cùng và click vào trang 2 hoặc trang 3</t>
  </si>
  <si>
    <t>Hiển thị danh sách khách sạn ở trang sau</t>
  </si>
  <si>
    <t>FUNC-DSKS13</t>
  </si>
  <si>
    <t>1. Đăng nhập trang web.
2 .Click vào Hotels
3. Chọn khách sạn muốn xem
4. Click vào "Xem chi tiết"</t>
  </si>
  <si>
    <t>Hiển thị mô tả về khách sạn (địa chỉ , bãi đậu xe , bản đồ , các loại phòng , đánh giá về khách sạn)</t>
  </si>
  <si>
    <t>Quản lý Khách sạn</t>
  </si>
  <si>
    <t>GUI_SHOW Quản lý khách sạn</t>
  </si>
  <si>
    <t>GUI-QLKS01</t>
  </si>
  <si>
    <t xml:space="preserve">[Thêm khách sạn] Button </t>
  </si>
  <si>
    <t>GUI-QLKS02</t>
  </si>
  <si>
    <t>[Tổng khách sạn] Label</t>
  </si>
  <si>
    <t>GUI-QLKS03</t>
  </si>
  <si>
    <t>[Tổng phòng] Label</t>
  </si>
  <si>
    <t xml:space="preserve"> -Text color : White
 -Status : Enable
 -Background : Green</t>
  </si>
  <si>
    <t>GUI-QLKS04</t>
  </si>
  <si>
    <t>[Phòng trống] Label</t>
  </si>
  <si>
    <t xml:space="preserve"> -Text color : White
 -Status : Enable
 -Background : Purple</t>
  </si>
  <si>
    <t>GUI-QLKS05</t>
  </si>
  <si>
    <t>[Số dư ví] Label</t>
  </si>
  <si>
    <t xml:space="preserve"> -Text color : White
 -Status : Enable
 -Background : Orange</t>
  </si>
  <si>
    <t>GUI-QLKS06</t>
  </si>
  <si>
    <t>[Tìm kiếm khách sạn] Textbox</t>
  </si>
  <si>
    <t>GUI-QLKS07</t>
  </si>
  <si>
    <t xml:space="preserve">[Sửa] Icon Button </t>
  </si>
  <si>
    <t xml:space="preserve"> -Text color : Blue
 -Status : Enable
 -Background : White</t>
  </si>
  <si>
    <t>GUI-QLKS08</t>
  </si>
  <si>
    <t xml:space="preserve">[Xoá]Icon Button </t>
  </si>
  <si>
    <t>GUI-QLKS09</t>
  </si>
  <si>
    <t>[Hình ảnh khách sạn] Img</t>
  </si>
  <si>
    <t xml:space="preserve"> -Image: visible
 -Src: correct
 -Trạng thái: Enable</t>
  </si>
  <si>
    <t>FUNCTION_SHOW Quản lý khách sạn</t>
  </si>
  <si>
    <t>FUN-QLKS01</t>
  </si>
  <si>
    <t>1. Đăng nhập trang web.
2 .Click vào Hotels
3. Chọn khách sạn và click vào "Xem chi tiết"
4. Click vào "Phòng"</t>
  </si>
  <si>
    <t>Hiển thị các thông tin mô tả về phòng</t>
  </si>
  <si>
    <t>FUN-QLKS02</t>
  </si>
  <si>
    <t>Chủ khách sạn quản lý khách sạn</t>
  </si>
  <si>
    <t>1. Đăng nhập trang web với tài khoản của chủ khách sạn
2 .Click vào "Quản lý khách sạn"</t>
  </si>
  <si>
    <t>Hiển thị tất cả khách sạn của chủ khách sạn đó</t>
  </si>
  <si>
    <t>FUN-QLKS03</t>
  </si>
  <si>
    <t>Tạo khách sạn mới (chủ khách sạn)</t>
  </si>
  <si>
    <t>1. Đăng nhập trang web với tài khoản của admin
2 .Click vào "Quản lý khách sạn"
3. Nhập tất cả các trường và tải ảnh khách sạn, ảnh phòng lên
4. Click vào "Tạo khách sạn"</t>
  </si>
  <si>
    <t>Yêu cầu "Tạo khách sạn" sẽ được gửi đi và chờ "Admin" xét duyệt</t>
  </si>
  <si>
    <t>FUN-QLKS04</t>
  </si>
  <si>
    <t>Tạo khách sạn mới (admin)</t>
  </si>
  <si>
    <t>1. Đăng nhập trang web với tài khoản của chủ khách sạn
2 .Click vào "Quản lý khách sạn"
3. Nhập tất cả các trường và tải ảnh khách sạn, ảnh phòng lên
4. Click vào "Tạo khách sạn"</t>
  </si>
  <si>
    <t>Khách sạn sẽ được thêm vào hệ thống và hiển thị trong Trang Hotels</t>
  </si>
  <si>
    <t>FUN-QLKS05</t>
  </si>
  <si>
    <t>Sửa khách sạn (chủ khách sạn)</t>
  </si>
  <si>
    <t>1. Đăng nhập trang web với tài khoản của admin
2 .Click vào "Quản lý khách sạn"
3. Click vào "Icon Sửa"
4. Nhập thông tin cần sửa
5. Click vào "Lưu thay đổi"</t>
  </si>
  <si>
    <t>Khách sạn sẽ được chỉnh sửa theo những thông tin nhập vào</t>
  </si>
  <si>
    <t>FUN-QLKS06</t>
  </si>
  <si>
    <t>Xoá khách sạn (chủ khách sạn)</t>
  </si>
  <si>
    <t>1. Đăng nhập trang web với tài khoản của chủ khách sạn
2 .Click vào "Quản lý khách sạn"
3. Chọn khách sạn muốn xoá
4. Click vào "Icon Xoá"
5. Click vào "Xác nhận"</t>
  </si>
  <si>
    <t>Khách sạn sẽ bị xoá khỏi hệ thống</t>
  </si>
  <si>
    <t>FUN-QLKS07</t>
  </si>
  <si>
    <t xml:space="preserve">Upload nhiều ảnh khách sạn </t>
  </si>
  <si>
    <t>1. Đăng nhập trang web 
2 .Click vào "Quản lý khách sạn"
3. Click vào "Thêm khách sạn"
4. Click vào trường "Ảnh khách sạn" hoặc kéo thả ảnh 
5. Chọn nhiều ảnh khách sạn 
6. Click vào "Tạo khách sạn"</t>
  </si>
  <si>
    <t>Tất cả các hình ảnh khách sạn được chọn đều được tải lên</t>
  </si>
  <si>
    <t>FUN-QLKS08</t>
  </si>
  <si>
    <t>Duyệt khách sạn (admin)</t>
  </si>
  <si>
    <t>1. Đăng nhập trang web với tài khoản của Admin
2 .Click vào "Khách sạn chờ duyệt"
3. Click vào "Duyệt"</t>
  </si>
  <si>
    <t>FUN-QLKS09</t>
  </si>
  <si>
    <t>Từ chối khách sạn (admin)</t>
  </si>
  <si>
    <t>1. Đăng nhập trang web với tài khoản của Admin
2 .Click vào "Khách sạn chờ duyệt"
3. Click vào "Từ chối"</t>
  </si>
  <si>
    <t>Khách sạn sẽ không được thêm vào hệ thống</t>
  </si>
  <si>
    <t>FUN-QLKS10</t>
  </si>
  <si>
    <t>Tìm kiếm khách sạn trong quản lý</t>
  </si>
  <si>
    <t>1. Đăng nhập trang web 
2 .Click vào "Quản lý khách sạn"
3. Nhập tên khách sạn vào trường "tìm kiếm khách sạn"</t>
  </si>
  <si>
    <t>Khách sạn sẽ hiển thị theo tên đẫ nhập vào</t>
  </si>
  <si>
    <t>FUN-QLKS11</t>
  </si>
  <si>
    <t>1. Đăng nhập trang web.
2 .Click vào Hotels
3. Chọn khách sạn và click vào "Xem chi tiết"
4. Click vào "Về"</t>
  </si>
  <si>
    <t xml:space="preserve">Hệ thống trả đúng toạ độ </t>
  </si>
  <si>
    <t>GUI_SHOW Quản lý phòng</t>
  </si>
  <si>
    <t>GUI-QLP01</t>
  </si>
  <si>
    <t>[Hình ảnh phòng] Img</t>
  </si>
  <si>
    <t>17/11/2025</t>
  </si>
  <si>
    <t>Sơn</t>
  </si>
  <si>
    <t>GUI-QLP02</t>
  </si>
  <si>
    <t>[Số phòng] Label</t>
  </si>
  <si>
    <t>GUI-QLP03</t>
  </si>
  <si>
    <t>[Giảm giá]Number input</t>
  </si>
  <si>
    <t>GUI-QLP04</t>
  </si>
  <si>
    <t>[Áp dụng] Button</t>
  </si>
  <si>
    <t>GUI-QLP05</t>
  </si>
  <si>
    <t>[Trạng thái] Label</t>
  </si>
  <si>
    <t xml:space="preserve"> -Text color : Green
 -Status : Enable
 -Background : White</t>
  </si>
  <si>
    <t>GUI-QLP06</t>
  </si>
  <si>
    <t>[Sức chứa] Label</t>
  </si>
  <si>
    <t>GUI-QLP07</t>
  </si>
  <si>
    <t>[Giảm giá] Label</t>
  </si>
  <si>
    <t>GUI-QLP08</t>
  </si>
  <si>
    <t>[Số booking] Label</t>
  </si>
  <si>
    <t>GUI-QLP09</t>
  </si>
  <si>
    <t>[Giá mới] Textbox</t>
  </si>
  <si>
    <t>GUI-QLP10</t>
  </si>
  <si>
    <t>[Trạng thái phòng] Dropdown</t>
  </si>
  <si>
    <t xml:space="preserve"> -Text: Default (ví dụ: "Trống")
 -Status : enable</t>
  </si>
  <si>
    <t>GUI-QLP11</t>
  </si>
  <si>
    <t>[Loại phòng] Dropdown</t>
  </si>
  <si>
    <t xml:space="preserve"> -Text: Default (ví dụ: "Chọn loại phòng")
 -Status : enable</t>
  </si>
  <si>
    <t>GUI-QLP12</t>
  </si>
  <si>
    <t>[Sức chứa]Number input</t>
  </si>
  <si>
    <t>GUI-QLP13</t>
  </si>
  <si>
    <t>GUI-QLP14</t>
  </si>
  <si>
    <t>[Ảnh phòng] Button</t>
  </si>
  <si>
    <t>GUI-QLP15</t>
  </si>
  <si>
    <t>[Lưu thay đổi] Button</t>
  </si>
  <si>
    <t>FUNCTION_SHOW Quản lý phòng</t>
  </si>
  <si>
    <t>FUNC-QLP01</t>
  </si>
  <si>
    <t xml:space="preserve">1. Đăng nhập trang web với tài khoản của chủ khách sạn
2 .Chọn khách sạn muốn quản lý phòng
3. Chọn phòng </t>
  </si>
  <si>
    <t>Hiển thị khách sạn và phòng muốn quản lý</t>
  </si>
  <si>
    <t>FUNC-QLP02</t>
  </si>
  <si>
    <t>1. Đăng nhập trang web với tài khoản của chủ khách sạn
2 .Chọn khách sạn cần sửa phòng
3. Chọn phòng cần sửa
4. Nhập thông tin cần sửa
5. Click vào "Lưu thay đổi"</t>
  </si>
  <si>
    <t>Cập nhật thông tin phòng thành công</t>
  </si>
  <si>
    <t>FUNC-QLP03</t>
  </si>
  <si>
    <t>1. Đăng nhập trang web với tài khoản của chủ khách sạn
2 .Chọn khách sạn cần sửa phòng
3. Chọn phòng cần sửa
4. Nhập giá phòng cần thay đổi
5. Click vào "Lưu thay đổi"</t>
  </si>
  <si>
    <t>Cập nhật giá phòng thành công</t>
  </si>
  <si>
    <t>FUNC-QLP04</t>
  </si>
  <si>
    <t>1. Đăng nhập trang web với tài khoản của chủ khách sạn
2 .Chọn khách sạn muốn giảm giá phòng
3. Chọn phòng muốn giảm giá
4. Nhập giảm giá(%)
5. Click vào "Lưu thay đổi"</t>
  </si>
  <si>
    <t>Cập nhật giảm giá phòng thành công</t>
  </si>
  <si>
    <t>FUNC-QLP05</t>
  </si>
  <si>
    <t>1. Đăng nhập trang web với tài khoản của chủ khách sạn
2 .Chọn khách sạn muốn giảm giá phòng
3. Nhập giảm giá(%)
4. Click vào "Áp dụng"</t>
  </si>
  <si>
    <t>Cập nhật giảm giá tất cả các phòng thành công</t>
  </si>
  <si>
    <t>FUNC-QLP06</t>
  </si>
  <si>
    <t>1. Đăng nhập trang web với tài khoản của chủ khách sạn
2 .Chọn khách sạn muốn cập nhật trạng thái phòng
3. Chọn phòng  nhật trạng thái
4. Chọn trạng thái muốn thay đổi
5. Click vào "Xác nhận"</t>
  </si>
  <si>
    <t>Cập nhật trạng thái phòng thành công</t>
  </si>
  <si>
    <t>FUNC-QLP07</t>
  </si>
  <si>
    <t>1. Đăng nhập trang web với tài khoản của chủ khách sạn
2 .Chọn khách sạn 
3. Chọn phòng  muốn tải ảnh lên
4. Chọn ảnh
5. Click vào "Lưu thay đổi"</t>
  </si>
  <si>
    <t>Cập nhật ảnh phòng thành công</t>
  </si>
  <si>
    <t>FUNC-QLP08</t>
  </si>
  <si>
    <t>1. Đăng nhập trang web với tài khoản của chủ khách sạn
2 .Chọn khách sạn 
3. Chọn phòng  muốn xem lịch sử</t>
  </si>
  <si>
    <t xml:space="preserve">Hiển thị lịch sử đặt phòng </t>
  </si>
  <si>
    <t>GUI_SHOW Đặt phòng và Booking</t>
  </si>
  <si>
    <t>GUI-DP01</t>
  </si>
  <si>
    <t>18/11/2025</t>
  </si>
  <si>
    <t>GUI-DP02</t>
  </si>
  <si>
    <t>GUI-DP03</t>
  </si>
  <si>
    <t>GUI-DP04</t>
  </si>
  <si>
    <t>GUI-DP05</t>
  </si>
  <si>
    <t>GUI-DP06</t>
  </si>
  <si>
    <t>GUI-DP07</t>
  </si>
  <si>
    <t>GUI-DP08</t>
  </si>
  <si>
    <t>GUI-DP09</t>
  </si>
  <si>
    <t>GUI-DP10</t>
  </si>
  <si>
    <t>GUI-DP11</t>
  </si>
  <si>
    <t>GUI-DP12</t>
  </si>
  <si>
    <t>GUI-DP13</t>
  </si>
  <si>
    <t>GUI-DP14</t>
  </si>
  <si>
    <t xml:space="preserve">[Chọn phòng] Button </t>
  </si>
  <si>
    <t>GUI-DP15</t>
  </si>
  <si>
    <t>[Đặt phòng] Button</t>
  </si>
  <si>
    <t>GUI-DP16</t>
  </si>
  <si>
    <t>[Ngày nhận phòng] Date picker</t>
  </si>
  <si>
    <t>GUI-DP17</t>
  </si>
  <si>
    <t>[Ngày trả phòng] Date picker</t>
  </si>
  <si>
    <t>GUI-DP18</t>
  </si>
  <si>
    <t>[Số người lớn] Dropdown</t>
  </si>
  <si>
    <t xml:space="preserve"> -Text: Default (ví dụ: "2 người lớn")
 -Status : enable</t>
  </si>
  <si>
    <t>GUI-DP19</t>
  </si>
  <si>
    <t>[Số trẻ em] Dropdown</t>
  </si>
  <si>
    <t xml:space="preserve"> -Text: Default (ví dụ: "0 trẻ em")
 -Status : enable</t>
  </si>
  <si>
    <t>GUI-DP20</t>
  </si>
  <si>
    <t>[Chọn loại phòng] Radio Button</t>
  </si>
  <si>
    <t>GUI-DP21</t>
  </si>
  <si>
    <t xml:space="preserve">[Tiếp tục thanh toán] Button </t>
  </si>
  <si>
    <t>GUI-DP22</t>
  </si>
  <si>
    <t>[Yêu cầu dịch vụ đặc biệt] Textbox</t>
  </si>
  <si>
    <t>GUI-DP23</t>
  </si>
  <si>
    <t>[Mã giảm giá] Textbox</t>
  </si>
  <si>
    <t>GUI-DP24</t>
  </si>
  <si>
    <t xml:space="preserve">[Áp dụng] Button </t>
  </si>
  <si>
    <t>GUI-DP25</t>
  </si>
  <si>
    <t>[Phương thức thanh toán] Radio Button</t>
  </si>
  <si>
    <t>GUI-DP26</t>
  </si>
  <si>
    <t xml:space="preserve">[Xác nhận thanh toán] Button </t>
  </si>
  <si>
    <t>FUNCTION_SHOW Đặt phòng và Booking</t>
  </si>
  <si>
    <t>FUNC-DP01</t>
  </si>
  <si>
    <t>1. Đăng nhập trang web.
2 .Click vào Hotels
3. Chọn khách sạn muốn đặt
4. Click vào "Xem chi tiết"
5 .Click vào chọn phòng
6. Chọn loại phòng và ngày nhận phòng , ngày trả phòng
7. Click vào "Tiếp tục thanh toán"
8. Chọn phương thức thanh toán
9. Click vào "Xác nhận thanh toán"</t>
  </si>
  <si>
    <t>Đặt phòng thành công và hệ thống cập nhật vào lịch sử đặt phòng</t>
  </si>
  <si>
    <t>FUNC-DP02</t>
  </si>
  <si>
    <t>1. Đăng nhập trang web.
2 .Click vào Hotels
3. Chọn khách sạn muốn đặt
4. Click vào "Xem chi tiết"
5 .Click vào chọn phòng
6. Chọn ngày nhận phòng là ngày đã qua (&lt; ngày hiện tại)</t>
  </si>
  <si>
    <t>Hệ thống không cho chọn ngày đã qua</t>
  </si>
  <si>
    <t>FUNC-DP03</t>
  </si>
  <si>
    <t>1. Đăng nhập trang web.
2 .Click vào Hotels
3. Chọn khách sạn muốn đặt
4. Click vào "Xem chi tiết"
5 .Click vào chọn phòng
6. Chọn ngày nhận phòng là ngày đã được đặt</t>
  </si>
  <si>
    <t>Hiển thị thông báo "Khoảng thời gian bạn chọn đã có người đặt. Vui lòng chọn khoảng thời gian khác"</t>
  </si>
  <si>
    <t>FUNC-DP04</t>
  </si>
  <si>
    <t>1. Đăng nhập trang web.
2 .Click vào "Lịch sử đặt phòng"
3. Click vào "Xem hoá đơn"</t>
  </si>
  <si>
    <t>Đặt phòng thành công</t>
  </si>
  <si>
    <t>Hiển thị mã QR đặt phòng</t>
  </si>
  <si>
    <t>FUNC-DP05</t>
  </si>
  <si>
    <t>Hiển thị thông tin đặt phòng ( ngày đặt,  check-in, check-out, …)</t>
  </si>
  <si>
    <t>FUNC-DP06</t>
  </si>
  <si>
    <t>1. Đăng nhập trang web.
2 .Click vào "Lịch sử đặt phòng"</t>
  </si>
  <si>
    <t>Hiển thị lịch sử đặt phòng đã được phân trang</t>
  </si>
  <si>
    <t>FUNC-DP07</t>
  </si>
  <si>
    <t>Hiển thị thông in từ mã QR</t>
  </si>
  <si>
    <t>GUI_SHOW Thanh toán</t>
  </si>
  <si>
    <t>GUI-TT01</t>
  </si>
  <si>
    <t>19/11/2025</t>
  </si>
  <si>
    <t>GUI-TT02</t>
  </si>
  <si>
    <t>GUI-TT03</t>
  </si>
  <si>
    <t>Giá trị ban đầu hiển thị chính xác; trạng thái Enable</t>
  </si>
  <si>
    <t>GUI-TT04</t>
  </si>
  <si>
    <t>GUI-TT05</t>
  </si>
  <si>
    <t>GUI-TT06</t>
  </si>
  <si>
    <t>GUI-TT07</t>
  </si>
  <si>
    <t>[Nhập số thẻ] Textbox</t>
  </si>
  <si>
    <t>GUI-TT08</t>
  </si>
  <si>
    <t>[Nhập tên chủ thẻ] Textbox</t>
  </si>
  <si>
    <t>GUI-TT09</t>
  </si>
  <si>
    <t>[Ngày phát hành] Textbox</t>
  </si>
  <si>
    <t xml:space="preserve"> -Text color : black
 -Status : enable 
 -Placeholder :MM/YY</t>
  </si>
  <si>
    <t>GUI-TT10</t>
  </si>
  <si>
    <t>[Mã khuyến mãi] Button</t>
  </si>
  <si>
    <t>GUI-TT11</t>
  </si>
  <si>
    <t>[Điều kiện sử dụng dịch vụ] Link</t>
  </si>
  <si>
    <t xml:space="preserve"> -Text color : Blue
 -Status : enable</t>
  </si>
  <si>
    <t>GUI-TT12</t>
  </si>
  <si>
    <t xml:space="preserve">[Huỷ thanh toán] Button </t>
  </si>
  <si>
    <t>GUI-TT13</t>
  </si>
  <si>
    <t xml:space="preserve">[Tiếp tục] Button </t>
  </si>
  <si>
    <t>FUNCTION_SHOW Thanh toán</t>
  </si>
  <si>
    <t>FUNC-TT01</t>
  </si>
  <si>
    <t>1. Đăng nhập trang web.
2 .Click vào Hotels
3. Chọn khách sạn muốn đặt
4. Click vào "Xem chi tiết"
5 .Click vào chọn phòng
6. Nhập tất cả thông tin và chọn phương thức thanh toán Vnpay</t>
  </si>
  <si>
    <t>Đi đến trang thanh toán bằng Vnpay</t>
  </si>
  <si>
    <t>FUNC-TT02</t>
  </si>
  <si>
    <t>1. Đăng nhập trang web.
2 .Click vào Hotels
3. Chọn khách sạn muốn đặt
4. Click vào "Xem chi tiết"
5 .Click vào chọn phòng
6. Nhập tất cả thông tin và chọn phương thức thanh toán Vnpay
7 .Nhập Số thẻ, Tên chủ thẻ,Ngày phát hành 
8. Click "Tiếp tục"
9. Nhập mã OTP và Click "tiếp tục"</t>
  </si>
  <si>
    <t>Thanh toán thành công và hiển thị hoá đơn đặt phòng</t>
  </si>
  <si>
    <t>FUNC-TT03</t>
  </si>
  <si>
    <t xml:space="preserve">1. Đăng nhập trang web.
2 .Click vào Hotels
3. Chọn khách sạn muốn đặt
4. Click vào "Xem chi tiết"
5 .Click vào chọn phòng
6. Nhập tất cả thông tin và chọn phương thức thanh toán Vnpay
7. Click"Huỷ thanh toán"
8. Click "Xác nhận huỷ"
</t>
  </si>
  <si>
    <t>Hiển thị thông báo "Thanh toán thất bại"</t>
  </si>
  <si>
    <t>FUNC-TT04</t>
  </si>
  <si>
    <t xml:space="preserve">1. Đăng nhập trang web.
2 .Click vào Hotels
3. Chọn khách sạn muốn đặt
4. Click vào "Xem chi tiết"
5 .Click vào "phòng"
</t>
  </si>
  <si>
    <t>Hiển thị những khoảng thời gian phòng đã được đặt ở dưới loại phòng</t>
  </si>
  <si>
    <t>FUNC-TT05</t>
  </si>
  <si>
    <t>1. Đăng nhập trang web với tài khoản Admin
2 .Click vào "Admin Dashboard"
3. Click vào "Giao dịch"
4. Click vào "Duyệt" và "Xác nhận" 
5. Click vào "Doanh thu" để xem doanh thu đã được chia</t>
  </si>
  <si>
    <t>Duyệt giao dịch thành công và được chia doanh thu khi duyệt giao dịch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</si>
</sst>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0;[Red]0"/>
  </numFmts>
  <fonts count="25">
    <font>
      <sz val="11.0"/>
      <color theme="1"/>
      <name val="Calibri"/>
      <scheme val="minor"/>
    </font>
    <font>
      <b/>
      <sz val="13.0"/>
      <color theme="1"/>
      <name val="Times New Roman"/>
    </font>
    <font/>
    <font>
      <sz val="13.0"/>
      <color theme="1"/>
      <name val="Times New Roman"/>
    </font>
    <font>
      <b/>
      <sz val="20.0"/>
      <color theme="1"/>
      <name val="Times New Roman"/>
    </font>
    <font>
      <sz val="10.0"/>
      <color theme="1"/>
      <name val="Times New Roman"/>
    </font>
    <font>
      <b/>
      <sz val="10.0"/>
      <color theme="1"/>
      <name val="Times New Roman"/>
    </font>
    <font>
      <b/>
      <i/>
      <sz val="13.0"/>
      <color rgb="FF339966"/>
      <name val="Times New Roman"/>
    </font>
    <font>
      <i/>
      <sz val="13.0"/>
      <color theme="1"/>
      <name val="Times New Roman"/>
    </font>
    <font>
      <b/>
      <sz val="13.0"/>
      <color rgb="FFFFFFFF"/>
      <name val="Times New Roman"/>
    </font>
    <font>
      <sz val="10.0"/>
      <color rgb="FFFFFFFF"/>
      <name val="Times New Roman"/>
    </font>
    <font>
      <sz val="16.0"/>
      <color theme="1"/>
      <name val="Times New Roman"/>
    </font>
    <font>
      <sz val="13.0"/>
      <color rgb="FFFFFFFF"/>
      <name val="Times New Roman"/>
    </font>
    <font>
      <sz val="11.0"/>
      <color theme="1"/>
      <name val="Times New Roman"/>
    </font>
    <font>
      <b/>
      <sz val="13.0"/>
      <color theme="0"/>
      <name val="Times New Roman"/>
    </font>
    <font>
      <sz val="11.0"/>
      <color theme="1"/>
      <name val="Calibri"/>
    </font>
    <font>
      <sz val="13.0"/>
      <color rgb="FF000000"/>
      <name val="Times New Roman"/>
    </font>
    <font>
      <sz val="13.0"/>
      <color rgb="FF333333"/>
      <name val="Times New Roman"/>
    </font>
    <font>
      <sz val="13.0"/>
      <color rgb="FF00000A"/>
      <name val="Times New Roman"/>
    </font>
    <font>
      <sz val="18.0"/>
      <color theme="1"/>
      <name val="Times New Roman"/>
    </font>
    <font>
      <sz val="14.0"/>
      <color theme="1"/>
      <name val="Times New Roman"/>
    </font>
    <font>
      <b/>
      <sz val="14.0"/>
      <color theme="0"/>
      <name val="Times New Roman"/>
    </font>
    <font>
      <b/>
      <sz val="14.0"/>
      <color theme="1"/>
      <name val="Times New Roman"/>
    </font>
    <font>
      <sz val="14.0"/>
      <color rgb="FF333333"/>
      <name val="Times New Roman"/>
    </font>
    <font>
      <b/>
      <sz val="18.0"/>
      <color theme="1"/>
      <name val="Times New Roman"/>
    </font>
  </fonts>
  <fills count="9">
    <fill>
      <patternFill patternType="none"/>
    </fill>
    <fill>
      <patternFill patternType="lightGray"/>
    </fill>
    <fill>
      <patternFill patternType="solid">
        <fgColor rgb="FF008080"/>
        <bgColor rgb="FF008080"/>
      </patternFill>
    </fill>
    <fill>
      <patternFill patternType="solid">
        <fgColor theme="0"/>
        <bgColor theme="0"/>
      </patternFill>
    </fill>
    <fill>
      <patternFill patternType="solid">
        <fgColor rgb="FFFFFFFF"/>
        <bgColor rgb="FFFFFFFF"/>
      </patternFill>
    </fill>
    <fill>
      <patternFill patternType="solid">
        <fgColor rgb="FF31859B"/>
        <bgColor rgb="FF31859B"/>
      </patternFill>
    </fill>
    <fill>
      <patternFill patternType="solid">
        <fgColor rgb="FFB6DDE8"/>
        <bgColor rgb="FFB6DDE8"/>
      </patternFill>
    </fill>
    <fill>
      <patternFill patternType="solid">
        <fgColor rgb="FFCCFFFF"/>
        <bgColor rgb="FFCCFFFF"/>
      </patternFill>
    </fill>
    <fill>
      <patternFill patternType="solid">
        <fgColor rgb="FF205867"/>
        <bgColor rgb="FF205867"/>
      </patternFill>
    </fill>
  </fills>
  <borders count="52">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thin">
        <color rgb="FF333333"/>
      </bottom>
    </border>
    <border>
      <bottom style="thin">
        <color rgb="FF333333"/>
      </bottom>
    </border>
    <border>
      <right style="hair">
        <color rgb="FF000000"/>
      </right>
      <bottom style="thin">
        <color rgb="FF333333"/>
      </bottom>
    </border>
    <border>
      <left style="thin">
        <color rgb="FF333333"/>
      </left>
      <right style="thin">
        <color rgb="FF333333"/>
      </right>
      <top style="thin">
        <color rgb="FF333333"/>
      </top>
      <bottom style="thin">
        <color rgb="FF333333"/>
      </bottom>
    </border>
    <border>
      <left style="thin">
        <color rgb="FF333333"/>
      </left>
      <top style="thin">
        <color rgb="FF333333"/>
      </top>
      <bottom style="thin">
        <color rgb="FF333333"/>
      </bottom>
    </border>
    <border>
      <top style="thin">
        <color rgb="FF333333"/>
      </top>
      <bottom style="thin">
        <color rgb="FF333333"/>
      </bottom>
    </border>
    <border>
      <right style="thin">
        <color rgb="FF333333"/>
      </right>
      <top style="thin">
        <color rgb="FF333333"/>
      </top>
      <bottom style="thin">
        <color rgb="FF333333"/>
      </bottom>
    </border>
    <border>
      <left style="thin">
        <color rgb="FF333333"/>
      </left>
      <right style="thin">
        <color rgb="FF333333"/>
      </right>
      <top style="thin">
        <color rgb="FF333333"/>
      </top>
      <bottom/>
    </border>
    <border>
      <left style="thin">
        <color rgb="FF333333"/>
      </left>
      <right/>
      <top style="thin">
        <color rgb="FF333333"/>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333333"/>
      </left>
      <right style="thin">
        <color rgb="FF333333"/>
      </right>
      <top style="thin">
        <color rgb="FF333333"/>
      </top>
    </border>
    <border>
      <left style="thin">
        <color rgb="FF333333"/>
      </left>
      <top style="thin">
        <color rgb="FF333333"/>
      </top>
    </border>
    <border>
      <top style="thin">
        <color rgb="FF333333"/>
      </top>
    </border>
    <border>
      <right style="thin">
        <color rgb="FF333333"/>
      </right>
      <top style="thin">
        <color rgb="FF333333"/>
      </top>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333333"/>
      </left>
      <right style="thin">
        <color rgb="FF333333"/>
      </right>
      <top style="thin">
        <color rgb="FF333333"/>
      </top>
      <bottom style="thin">
        <color rgb="FF000000"/>
      </bottom>
    </border>
    <border>
      <left/>
      <right/>
      <top/>
      <bottom/>
    </border>
    <border>
      <left/>
      <right style="medium">
        <color rgb="FF000000"/>
      </right>
      <top/>
      <bottom style="medium">
        <color rgb="FF000000"/>
      </bottom>
    </border>
    <border>
      <left style="medium">
        <color rgb="FF000000"/>
      </left>
      <right style="medium">
        <color rgb="FF000000"/>
      </right>
      <top/>
      <bottom style="medium">
        <color rgb="FF000000"/>
      </bottom>
    </border>
    <border>
      <left style="medium">
        <color rgb="FF000000"/>
      </left>
      <right/>
      <top/>
      <bottom style="medium">
        <color rgb="FF000000"/>
      </bottom>
    </border>
    <border>
      <left/>
      <right style="thin">
        <color rgb="FF000000"/>
      </right>
      <top/>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thin">
        <color rgb="FF000000"/>
      </right>
    </border>
    <border>
      <bottom style="thin">
        <color rgb="FF000000"/>
      </bottom>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left style="medium">
        <color rgb="FF000000"/>
      </left>
      <top style="medium">
        <color rgb="FF000000"/>
      </top>
      <bottom style="thin">
        <color rgb="FF000000"/>
      </bottom>
    </border>
    <border>
      <left style="medium">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Font="1"/>
    <xf borderId="4" fillId="0" fontId="2" numFmtId="0" xfId="0" applyBorder="1" applyFont="1"/>
    <xf borderId="5" fillId="0" fontId="2" numFmtId="0" xfId="0" applyBorder="1" applyFont="1"/>
    <xf borderId="6" fillId="0" fontId="2" numFmtId="0" xfId="0" applyBorder="1" applyFont="1"/>
    <xf borderId="7" fillId="2" fontId="1" numFmtId="0" xfId="0" applyAlignment="1" applyBorder="1" applyFill="1" applyFont="1">
      <alignment horizontal="center" vertical="center"/>
    </xf>
    <xf borderId="8" fillId="0" fontId="1"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2" fontId="1" numFmtId="0" xfId="0" applyAlignment="1" applyBorder="1" applyFont="1">
      <alignment horizontal="center" vertical="center"/>
    </xf>
    <xf borderId="12" fillId="2" fontId="1" numFmtId="0" xfId="0" applyAlignment="1" applyBorder="1" applyFont="1">
      <alignment horizontal="center" vertical="center"/>
    </xf>
    <xf borderId="13" fillId="2" fontId="1" numFmtId="0" xfId="0" applyAlignment="1" applyBorder="1" applyFont="1">
      <alignment horizontal="center" vertical="center"/>
    </xf>
    <xf borderId="13" fillId="3" fontId="3" numFmtId="0" xfId="0" applyAlignment="1" applyBorder="1" applyFill="1" applyFont="1">
      <alignment horizontal="center" vertical="center"/>
    </xf>
    <xf borderId="13" fillId="3" fontId="3" numFmtId="0" xfId="0" applyAlignment="1" applyBorder="1" applyFont="1">
      <alignment horizontal="center" readingOrder="0" vertical="center"/>
    </xf>
    <xf borderId="13" fillId="0" fontId="3" numFmtId="0" xfId="0" applyAlignment="1" applyBorder="1" applyFont="1">
      <alignment horizontal="center" vertical="center"/>
    </xf>
    <xf borderId="14" fillId="3" fontId="1" numFmtId="0" xfId="0" applyAlignment="1" applyBorder="1" applyFont="1">
      <alignment horizontal="center" vertical="center"/>
    </xf>
    <xf borderId="14" fillId="3" fontId="3" numFmtId="0" xfId="0" applyAlignment="1" applyBorder="1" applyFont="1">
      <alignment horizontal="center" vertical="center"/>
    </xf>
    <xf borderId="14" fillId="0" fontId="3" numFmtId="0" xfId="0" applyAlignment="1" applyBorder="1" applyFont="1">
      <alignment horizontal="center" vertical="center"/>
    </xf>
    <xf borderId="15" fillId="0" fontId="2" numFmtId="0" xfId="0" applyBorder="1" applyFont="1"/>
    <xf borderId="13" fillId="0" fontId="3" numFmtId="0" xfId="0" applyAlignment="1" applyBorder="1" applyFont="1">
      <alignment horizontal="center" shrinkToFit="0" vertical="center" wrapText="1"/>
    </xf>
    <xf borderId="16" fillId="0" fontId="2" numFmtId="0" xfId="0" applyBorder="1" applyFont="1"/>
    <xf borderId="0" fillId="0" fontId="3" numFmtId="0" xfId="0" applyAlignment="1" applyFont="1">
      <alignment horizontal="center" vertical="center"/>
    </xf>
    <xf borderId="0" fillId="0" fontId="4" numFmtId="0" xfId="0" applyAlignment="1" applyFont="1">
      <alignment horizontal="center"/>
    </xf>
    <xf borderId="0" fillId="0" fontId="5" numFmtId="0" xfId="0" applyAlignment="1" applyFont="1">
      <alignment vertical="center"/>
    </xf>
    <xf borderId="0" fillId="0" fontId="6" numFmtId="0" xfId="0" applyFont="1"/>
    <xf borderId="0" fillId="0" fontId="5" numFmtId="0" xfId="0" applyFont="1"/>
    <xf borderId="0" fillId="0" fontId="5" numFmtId="164" xfId="0" applyFont="1" applyNumberFormat="1"/>
    <xf borderId="7" fillId="0" fontId="1" numFmtId="0" xfId="0" applyAlignment="1" applyBorder="1" applyFont="1">
      <alignment horizontal="center" vertical="center"/>
    </xf>
    <xf borderId="8" fillId="0" fontId="1" numFmtId="0" xfId="0" applyAlignment="1" applyBorder="1" applyFont="1">
      <alignment horizontal="center"/>
    </xf>
    <xf borderId="7" fillId="0" fontId="1" numFmtId="0" xfId="0" applyAlignment="1" applyBorder="1" applyFont="1">
      <alignment horizontal="center"/>
    </xf>
    <xf borderId="8" fillId="0" fontId="1" numFmtId="0" xfId="0" applyAlignment="1" applyBorder="1" applyFont="1">
      <alignment horizontal="left"/>
    </xf>
    <xf borderId="8" fillId="0" fontId="1" numFmtId="0" xfId="0" applyAlignment="1" applyBorder="1" applyFont="1">
      <alignment horizontal="center" vertical="top"/>
    </xf>
    <xf borderId="7" fillId="0" fontId="1" numFmtId="0" xfId="0" applyAlignment="1" applyBorder="1" applyFont="1">
      <alignment horizontal="center" vertical="top"/>
    </xf>
    <xf borderId="8" fillId="0" fontId="3" numFmtId="0" xfId="0" applyAlignment="1" applyBorder="1" applyFont="1">
      <alignment horizontal="center"/>
    </xf>
    <xf borderId="7" fillId="0" fontId="3" numFmtId="0" xfId="0" applyAlignment="1" applyBorder="1" applyFont="1">
      <alignment horizontal="center"/>
    </xf>
    <xf borderId="8" fillId="0" fontId="3" numFmtId="15" xfId="0" applyAlignment="1" applyBorder="1" applyFont="1" applyNumberFormat="1">
      <alignment horizontal="center"/>
    </xf>
    <xf borderId="17" fillId="0" fontId="1" numFmtId="0" xfId="0" applyAlignment="1" applyBorder="1" applyFont="1">
      <alignment vertical="center"/>
    </xf>
    <xf borderId="18" fillId="0" fontId="7" numFmtId="0" xfId="0" applyAlignment="1" applyBorder="1" applyFont="1">
      <alignment shrinkToFit="0" vertical="top" wrapText="1"/>
    </xf>
    <xf borderId="19" fillId="0" fontId="2" numFmtId="0" xfId="0" applyBorder="1" applyFont="1"/>
    <xf borderId="20" fillId="0" fontId="2" numFmtId="0" xfId="0" applyBorder="1" applyFont="1"/>
    <xf borderId="17" fillId="0" fontId="7" numFmtId="0" xfId="0" applyAlignment="1" applyBorder="1" applyFont="1">
      <alignment shrinkToFit="0" vertical="top" wrapText="1"/>
    </xf>
    <xf borderId="17" fillId="0" fontId="3" numFmtId="0" xfId="0" applyAlignment="1" applyBorder="1" applyFont="1">
      <alignment shrinkToFit="0" wrapText="1"/>
    </xf>
    <xf borderId="13" fillId="0" fontId="1" numFmtId="0" xfId="0" applyAlignment="1" applyBorder="1" applyFont="1">
      <alignment vertical="center"/>
    </xf>
    <xf borderId="13" fillId="0" fontId="7" numFmtId="0" xfId="0" applyAlignment="1" applyBorder="1" applyFont="1">
      <alignment shrinkToFit="0" vertical="top" wrapText="1"/>
    </xf>
    <xf borderId="21" fillId="0" fontId="1" numFmtId="0" xfId="0" applyAlignment="1" applyBorder="1" applyFont="1">
      <alignment horizontal="center" vertical="center"/>
    </xf>
    <xf borderId="22" fillId="0" fontId="2" numFmtId="0" xfId="0" applyBorder="1" applyFont="1"/>
    <xf borderId="21" fillId="0" fontId="1" numFmtId="164" xfId="0" applyAlignment="1" applyBorder="1" applyFont="1" applyNumberFormat="1">
      <alignment horizontal="center" vertical="center"/>
    </xf>
    <xf borderId="21" fillId="0" fontId="1" numFmtId="0" xfId="0" applyAlignment="1" applyBorder="1" applyFont="1">
      <alignment horizontal="center" shrinkToFit="0" vertical="center" wrapText="1"/>
    </xf>
    <xf borderId="13" fillId="0" fontId="1" numFmtId="0" xfId="0" applyBorder="1" applyFont="1"/>
    <xf borderId="13" fillId="0" fontId="8" numFmtId="0" xfId="0" applyBorder="1" applyFont="1"/>
    <xf borderId="23" fillId="0" fontId="2" numFmtId="0" xfId="0" applyBorder="1" applyFont="1"/>
    <xf borderId="24" fillId="0" fontId="2" numFmtId="0" xfId="0" applyBorder="1" applyFont="1"/>
    <xf borderId="13" fillId="2" fontId="9" numFmtId="0" xfId="0" applyAlignment="1" applyBorder="1" applyFont="1">
      <alignment horizontal="center" vertical="center"/>
    </xf>
    <xf borderId="13" fillId="2" fontId="9" numFmtId="0" xfId="0" applyAlignment="1" applyBorder="1" applyFont="1">
      <alignment horizontal="center" shrinkToFit="0" vertical="center" wrapText="1"/>
    </xf>
    <xf borderId="0" fillId="0" fontId="10" numFmtId="0" xfId="0" applyAlignment="1" applyFont="1">
      <alignment vertical="center"/>
    </xf>
    <xf borderId="7" fillId="0" fontId="11" numFmtId="0" xfId="0" applyAlignment="1" applyBorder="1" applyFont="1">
      <alignment horizontal="center"/>
    </xf>
    <xf borderId="7" fillId="0" fontId="11" numFmtId="0" xfId="0" applyAlignment="1" applyBorder="1" applyFont="1">
      <alignment shrinkToFit="0" vertical="center" wrapText="1"/>
    </xf>
    <xf borderId="13" fillId="0" fontId="3" numFmtId="0" xfId="0" applyAlignment="1" applyBorder="1" applyFont="1">
      <alignment horizontal="center"/>
    </xf>
    <xf borderId="13" fillId="0" fontId="3" numFmtId="165" xfId="0" applyAlignment="1" applyBorder="1" applyFont="1" applyNumberFormat="1">
      <alignment horizontal="center"/>
    </xf>
    <xf borderId="13" fillId="0" fontId="3" numFmtId="1" xfId="0" applyAlignment="1" applyBorder="1" applyFont="1" applyNumberFormat="1">
      <alignment horizontal="center"/>
    </xf>
    <xf borderId="17" fillId="0" fontId="11" numFmtId="0" xfId="0" applyAlignment="1" applyBorder="1" applyFont="1">
      <alignment horizontal="center"/>
    </xf>
    <xf borderId="17" fillId="0" fontId="11" numFmtId="0" xfId="0" applyAlignment="1" applyBorder="1" applyFont="1">
      <alignment shrinkToFit="0" vertical="center" wrapText="1"/>
    </xf>
    <xf borderId="25" fillId="0" fontId="11" numFmtId="0" xfId="0" applyAlignment="1" applyBorder="1" applyFont="1">
      <alignment horizontal="center"/>
    </xf>
    <xf borderId="25" fillId="0" fontId="11" numFmtId="0" xfId="0" applyAlignment="1" applyBorder="1" applyFont="1">
      <alignment shrinkToFit="0" vertical="center" wrapText="1"/>
    </xf>
    <xf borderId="26" fillId="4" fontId="5" numFmtId="0" xfId="0" applyAlignment="1" applyBorder="1" applyFill="1" applyFont="1">
      <alignment vertical="center"/>
    </xf>
    <xf borderId="13" fillId="2" fontId="3" numFmtId="0" xfId="0" applyAlignment="1" applyBorder="1" applyFont="1">
      <alignment horizontal="center"/>
    </xf>
    <xf borderId="13" fillId="2" fontId="9" numFmtId="0" xfId="0" applyBorder="1" applyFont="1"/>
    <xf borderId="13" fillId="2" fontId="9" numFmtId="165" xfId="0" applyAlignment="1" applyBorder="1" applyFont="1" applyNumberFormat="1">
      <alignment horizontal="center"/>
    </xf>
    <xf borderId="26" fillId="4" fontId="3" numFmtId="0" xfId="0" applyAlignment="1" applyBorder="1" applyFont="1">
      <alignment horizontal="center"/>
    </xf>
    <xf borderId="27" fillId="4" fontId="9" numFmtId="0" xfId="0" applyBorder="1" applyFont="1"/>
    <xf borderId="28" fillId="4" fontId="1" numFmtId="0" xfId="0" applyAlignment="1" applyBorder="1" applyFont="1">
      <alignment horizontal="center"/>
    </xf>
    <xf borderId="29" fillId="4" fontId="12" numFmtId="0" xfId="0" applyAlignment="1" applyBorder="1" applyFont="1">
      <alignment horizontal="center"/>
    </xf>
    <xf borderId="26" fillId="4" fontId="12" numFmtId="0" xfId="0" applyAlignment="1" applyBorder="1" applyFont="1">
      <alignment horizontal="center"/>
    </xf>
    <xf borderId="26" fillId="4" fontId="9" numFmtId="0" xfId="0" applyAlignment="1" applyBorder="1" applyFont="1">
      <alignment horizontal="center"/>
    </xf>
    <xf borderId="26" fillId="4" fontId="12" numFmtId="9" xfId="0" applyAlignment="1" applyBorder="1" applyFont="1" applyNumberFormat="1">
      <alignment horizontal="center"/>
    </xf>
    <xf borderId="30" fillId="4" fontId="12" numFmtId="9" xfId="0" applyAlignment="1" applyBorder="1" applyFont="1" applyNumberFormat="1">
      <alignment horizontal="center"/>
    </xf>
    <xf borderId="0" fillId="0" fontId="13" numFmtId="0" xfId="0" applyFont="1"/>
    <xf borderId="31" fillId="0" fontId="1" numFmtId="0" xfId="0" applyAlignment="1" applyBorder="1" applyFont="1">
      <alignment horizontal="left"/>
    </xf>
    <xf borderId="32" fillId="0" fontId="3" numFmtId="0" xfId="0" applyBorder="1" applyFont="1"/>
    <xf borderId="31" fillId="0" fontId="3" numFmtId="0" xfId="0" applyBorder="1" applyFont="1"/>
    <xf borderId="33" fillId="0" fontId="1" numFmtId="2" xfId="0" applyAlignment="1" applyBorder="1" applyFont="1" applyNumberFormat="1">
      <alignment horizontal="right" shrinkToFit="0" wrapText="1"/>
    </xf>
    <xf borderId="0" fillId="0" fontId="3" numFmtId="0" xfId="0" applyAlignment="1" applyFont="1">
      <alignment vertical="center"/>
    </xf>
    <xf borderId="0" fillId="0" fontId="3" numFmtId="0" xfId="0" applyAlignment="1" applyFont="1">
      <alignment horizontal="center" shrinkToFit="0" wrapText="1"/>
    </xf>
    <xf borderId="34" fillId="0" fontId="3" numFmtId="0" xfId="0" applyAlignment="1" applyBorder="1" applyFont="1">
      <alignment horizontal="center" shrinkToFit="0" wrapText="1"/>
    </xf>
    <xf borderId="35" fillId="0" fontId="3" numFmtId="0" xfId="0" applyBorder="1" applyFont="1"/>
    <xf borderId="36" fillId="0" fontId="1" numFmtId="0" xfId="0" applyAlignment="1" applyBorder="1" applyFont="1">
      <alignment horizontal="left"/>
    </xf>
    <xf borderId="37" fillId="0" fontId="3" numFmtId="0" xfId="0" applyBorder="1" applyFont="1"/>
    <xf borderId="38" fillId="0" fontId="3" numFmtId="0" xfId="0" applyBorder="1" applyFont="1"/>
    <xf borderId="39" fillId="0" fontId="1" numFmtId="2" xfId="0" applyAlignment="1" applyBorder="1" applyFont="1" applyNumberFormat="1">
      <alignment horizontal="right" shrinkToFit="0" wrapText="1"/>
    </xf>
    <xf borderId="35" fillId="0" fontId="3" numFmtId="0" xfId="0" applyAlignment="1" applyBorder="1" applyFont="1">
      <alignment vertical="center"/>
    </xf>
    <xf borderId="35" fillId="0" fontId="3" numFmtId="0" xfId="0" applyAlignment="1" applyBorder="1" applyFont="1">
      <alignment horizontal="center" shrinkToFit="0" wrapText="1"/>
    </xf>
    <xf borderId="24" fillId="0" fontId="3" numFmtId="0" xfId="0" applyAlignment="1" applyBorder="1" applyFont="1">
      <alignment horizontal="center" shrinkToFit="0" wrapText="1"/>
    </xf>
    <xf borderId="13" fillId="2" fontId="14" numFmtId="0" xfId="0" applyBorder="1" applyFont="1"/>
    <xf borderId="40" fillId="0" fontId="1" numFmtId="0" xfId="0" applyAlignment="1" applyBorder="1" applyFont="1">
      <alignment horizontal="left"/>
    </xf>
    <xf borderId="41" fillId="0" fontId="2" numFmtId="0" xfId="0" applyBorder="1" applyFont="1"/>
    <xf borderId="42" fillId="0" fontId="2" numFmtId="0" xfId="0" applyBorder="1" applyFont="1"/>
    <xf borderId="40" fillId="0" fontId="3" numFmtId="0" xfId="0" applyAlignment="1" applyBorder="1" applyFont="1">
      <alignment horizontal="left"/>
    </xf>
    <xf borderId="13" fillId="0" fontId="3" numFmtId="0" xfId="0" applyBorder="1" applyFont="1"/>
    <xf borderId="13" fillId="2" fontId="14" numFmtId="0" xfId="0" applyAlignment="1" applyBorder="1" applyFont="1">
      <alignment horizontal="center" vertical="center"/>
    </xf>
    <xf borderId="13" fillId="2" fontId="14" numFmtId="0" xfId="0" applyAlignment="1" applyBorder="1" applyFont="1">
      <alignment horizontal="center" shrinkToFit="0" vertical="center" wrapText="1"/>
    </xf>
    <xf borderId="13" fillId="0" fontId="3" numFmtId="0" xfId="0" applyAlignment="1" applyBorder="1" applyFont="1">
      <alignment horizontal="right" shrinkToFit="0" vertical="top" wrapText="1"/>
    </xf>
    <xf borderId="43" fillId="0" fontId="15" numFmtId="0" xfId="0" applyAlignment="1" applyBorder="1" applyFont="1">
      <alignment horizontal="center"/>
    </xf>
    <xf borderId="43" fillId="0" fontId="2" numFmtId="0" xfId="0" applyBorder="1" applyFont="1"/>
    <xf borderId="0" fillId="0" fontId="15" numFmtId="0" xfId="0" applyAlignment="1" applyFont="1">
      <alignment horizontal="center"/>
    </xf>
    <xf borderId="35" fillId="0" fontId="2" numFmtId="0" xfId="0" applyBorder="1" applyFont="1"/>
    <xf borderId="14" fillId="5" fontId="14" numFmtId="0" xfId="0" applyAlignment="1" applyBorder="1" applyFill="1" applyFont="1">
      <alignment horizontal="center" shrinkToFit="0" vertical="center" wrapText="1"/>
    </xf>
    <xf borderId="40" fillId="5" fontId="14" numFmtId="0" xfId="0" applyAlignment="1" applyBorder="1" applyFont="1">
      <alignment horizontal="center" shrinkToFit="0" wrapText="1"/>
    </xf>
    <xf borderId="14" fillId="5" fontId="14" numFmtId="0" xfId="0" applyAlignment="1" applyBorder="1" applyFont="1">
      <alignment horizontal="center" shrinkToFit="0" wrapText="1"/>
    </xf>
    <xf borderId="13" fillId="5" fontId="14" numFmtId="0" xfId="0" applyAlignment="1" applyBorder="1" applyFont="1">
      <alignment horizontal="center" shrinkToFit="0" vertical="center" wrapText="1"/>
    </xf>
    <xf borderId="13" fillId="5" fontId="14" numFmtId="164" xfId="0" applyAlignment="1" applyBorder="1" applyFont="1" applyNumberFormat="1">
      <alignment horizontal="center" shrinkToFit="0" vertical="center" wrapText="1"/>
    </xf>
    <xf borderId="40" fillId="6" fontId="1" numFmtId="0" xfId="0" applyAlignment="1" applyBorder="1" applyFill="1" applyFont="1">
      <alignment horizontal="left" shrinkToFit="0" vertical="center" wrapText="1"/>
    </xf>
    <xf borderId="13" fillId="4" fontId="3" numFmtId="0" xfId="0" applyAlignment="1" applyBorder="1" applyFont="1">
      <alignment horizontal="left" shrinkToFit="0" vertical="center" wrapText="1"/>
    </xf>
    <xf borderId="13" fillId="0" fontId="3" numFmtId="0" xfId="0" applyAlignment="1" applyBorder="1" applyFont="1">
      <alignment horizontal="left" shrinkToFit="0" vertical="top" wrapText="1"/>
    </xf>
    <xf borderId="44" fillId="4" fontId="16" numFmtId="0" xfId="0" applyAlignment="1" applyBorder="1" applyFont="1">
      <alignment horizontal="left" shrinkToFit="0" vertical="center" wrapText="1"/>
    </xf>
    <xf borderId="13" fillId="0" fontId="3" numFmtId="14" xfId="0" applyAlignment="1" applyBorder="1" applyFont="1" applyNumberFormat="1">
      <alignment horizontal="center" shrinkToFit="0" vertical="center" wrapText="1"/>
    </xf>
    <xf borderId="13" fillId="0" fontId="3" numFmtId="0" xfId="0" applyAlignment="1" applyBorder="1" applyFont="1">
      <alignment shrinkToFit="0" wrapText="1"/>
    </xf>
    <xf borderId="13" fillId="0" fontId="3" numFmtId="0" xfId="0" applyAlignment="1" applyBorder="1" applyFont="1">
      <alignment horizontal="left" shrinkToFit="0" vertical="center" wrapText="1"/>
    </xf>
    <xf borderId="13" fillId="4" fontId="16" numFmtId="0" xfId="0" applyAlignment="1" applyBorder="1" applyFont="1">
      <alignment horizontal="left" shrinkToFit="0" vertical="center" wrapText="1"/>
    </xf>
    <xf borderId="0" fillId="0" fontId="1" numFmtId="0" xfId="0" applyAlignment="1" applyFont="1">
      <alignment vertical="center"/>
    </xf>
    <xf borderId="13" fillId="0" fontId="15" numFmtId="0" xfId="0" applyBorder="1" applyFont="1"/>
    <xf borderId="0" fillId="0" fontId="3" numFmtId="0" xfId="0" applyAlignment="1" applyFont="1">
      <alignment horizontal="left" shrinkToFit="0" vertical="top" wrapText="1"/>
    </xf>
    <xf borderId="40" fillId="7" fontId="1" numFmtId="0" xfId="0" applyAlignment="1" applyBorder="1" applyFill="1" applyFont="1">
      <alignment horizontal="left" vertical="top"/>
    </xf>
    <xf borderId="13" fillId="4" fontId="3" numFmtId="0" xfId="0" applyAlignment="1" applyBorder="1" applyFont="1">
      <alignment horizontal="left" shrinkToFit="0" vertical="top" wrapText="1"/>
    </xf>
    <xf borderId="13" fillId="2" fontId="9" numFmtId="0" xfId="0" applyAlignment="1" applyBorder="1" applyFont="1">
      <alignment shrinkToFit="0" vertical="center" wrapText="1"/>
    </xf>
    <xf borderId="40" fillId="0" fontId="1" numFmtId="0" xfId="0" applyAlignment="1" applyBorder="1" applyFont="1">
      <alignment horizontal="left" shrinkToFit="0" vertical="center" wrapText="1"/>
    </xf>
    <xf borderId="0" fillId="0" fontId="3" numFmtId="0" xfId="0" applyAlignment="1" applyFont="1">
      <alignment horizontal="center" vertical="top"/>
    </xf>
    <xf borderId="0" fillId="0" fontId="3" numFmtId="164" xfId="0" applyFont="1" applyNumberFormat="1"/>
    <xf borderId="40" fillId="0" fontId="3" numFmtId="0" xfId="0" applyAlignment="1" applyBorder="1" applyFont="1">
      <alignment horizontal="left" shrinkToFit="0" vertical="center" wrapText="1"/>
    </xf>
    <xf borderId="13" fillId="0" fontId="3" numFmtId="0" xfId="0" applyAlignment="1" applyBorder="1" applyFont="1">
      <alignment shrinkToFit="0" vertical="center" wrapText="1"/>
    </xf>
    <xf borderId="13" fillId="0" fontId="1" numFmtId="0" xfId="0" applyAlignment="1" applyBorder="1" applyFont="1">
      <alignment shrinkToFit="0" vertical="center" wrapText="1"/>
    </xf>
    <xf borderId="13" fillId="0" fontId="3" numFmtId="0" xfId="0" applyAlignment="1" applyBorder="1" applyFont="1">
      <alignment horizontal="right" shrinkToFit="0" vertical="center" wrapText="1"/>
    </xf>
    <xf borderId="0" fillId="0" fontId="1" numFmtId="0" xfId="0" applyFont="1"/>
    <xf borderId="0" fillId="0" fontId="17" numFmtId="0" xfId="0" applyFont="1"/>
    <xf borderId="14" fillId="2" fontId="9" numFmtId="0" xfId="0" applyAlignment="1" applyBorder="1" applyFont="1">
      <alignment horizontal="center" shrinkToFit="0" vertical="center" wrapText="1"/>
    </xf>
    <xf borderId="40" fillId="2" fontId="9" numFmtId="0" xfId="0" applyAlignment="1" applyBorder="1" applyFont="1">
      <alignment horizontal="center" shrinkToFit="0" vertical="center" wrapText="1"/>
    </xf>
    <xf borderId="13" fillId="2" fontId="9" numFmtId="0" xfId="0" applyAlignment="1" applyBorder="1" applyFont="1">
      <alignment horizontal="center" shrinkToFit="0" vertical="top" wrapText="1"/>
    </xf>
    <xf borderId="13" fillId="2" fontId="9" numFmtId="164" xfId="0" applyAlignment="1" applyBorder="1" applyFont="1" applyNumberFormat="1">
      <alignment horizontal="center" shrinkToFit="0" vertical="center" wrapText="1"/>
    </xf>
    <xf borderId="40" fillId="7" fontId="1" numFmtId="0" xfId="0" applyAlignment="1" applyBorder="1" applyFont="1">
      <alignment vertical="center"/>
    </xf>
    <xf borderId="13" fillId="0" fontId="3" numFmtId="0" xfId="0" applyAlignment="1" applyBorder="1" applyFont="1">
      <alignment vertical="top"/>
    </xf>
    <xf borderId="13" fillId="0" fontId="18" numFmtId="0" xfId="0" applyAlignment="1" applyBorder="1" applyFont="1">
      <alignment horizontal="center" vertical="center"/>
    </xf>
    <xf borderId="40" fillId="7" fontId="1" numFmtId="0" xfId="0" applyAlignment="1" applyBorder="1" applyFont="1">
      <alignment horizontal="left" vertical="center"/>
    </xf>
    <xf borderId="13" fillId="0" fontId="3" numFmtId="0" xfId="0" applyAlignment="1" applyBorder="1" applyFont="1">
      <alignment vertical="center"/>
    </xf>
    <xf borderId="14" fillId="5" fontId="14" numFmtId="0" xfId="0" applyAlignment="1" applyBorder="1" applyFont="1">
      <alignment horizontal="left" shrinkToFit="0" vertical="top" wrapText="1"/>
    </xf>
    <xf borderId="40" fillId="5" fontId="14" numFmtId="0" xfId="0" applyAlignment="1" applyBorder="1" applyFont="1">
      <alignment horizontal="left" shrinkToFit="0" vertical="top" wrapText="1"/>
    </xf>
    <xf borderId="13" fillId="5" fontId="14" numFmtId="0" xfId="0" applyAlignment="1" applyBorder="1" applyFont="1">
      <alignment horizontal="left" shrinkToFit="0" vertical="top" wrapText="1"/>
    </xf>
    <xf borderId="13" fillId="5" fontId="14" numFmtId="164" xfId="0" applyAlignment="1" applyBorder="1" applyFont="1" applyNumberFormat="1">
      <alignment horizontal="left" shrinkToFit="0" vertical="top" wrapText="1"/>
    </xf>
    <xf borderId="40" fillId="6" fontId="1" numFmtId="0" xfId="0" applyAlignment="1" applyBorder="1" applyFont="1">
      <alignment horizontal="left" shrinkToFit="0" vertical="top" wrapText="1"/>
    </xf>
    <xf borderId="40" fillId="0" fontId="1" numFmtId="0" xfId="0" applyAlignment="1" applyBorder="1" applyFont="1">
      <alignment horizontal="left" vertical="center"/>
    </xf>
    <xf borderId="0" fillId="0" fontId="5" numFmtId="0" xfId="0" applyAlignment="1" applyFont="1">
      <alignment horizontal="center" vertical="top"/>
    </xf>
    <xf borderId="40" fillId="0" fontId="19" numFmtId="0" xfId="0" applyAlignment="1" applyBorder="1" applyFont="1">
      <alignment horizontal="left" vertical="center"/>
    </xf>
    <xf borderId="13" fillId="0" fontId="20" numFmtId="0" xfId="0" applyAlignment="1" applyBorder="1" applyFont="1">
      <alignment vertical="center"/>
    </xf>
    <xf borderId="13" fillId="2" fontId="21" numFmtId="0" xfId="0" applyAlignment="1" applyBorder="1" applyFont="1">
      <alignment horizontal="center" vertical="center"/>
    </xf>
    <xf borderId="13" fillId="2" fontId="21" numFmtId="0" xfId="0" applyAlignment="1" applyBorder="1" applyFont="1">
      <alignment horizontal="left" shrinkToFit="0" vertical="center" wrapText="1"/>
    </xf>
    <xf borderId="0" fillId="0" fontId="20" numFmtId="0" xfId="0" applyAlignment="1" applyFont="1">
      <alignment horizontal="center" vertical="top"/>
    </xf>
    <xf borderId="0" fillId="0" fontId="20" numFmtId="164" xfId="0" applyFont="1" applyNumberFormat="1"/>
    <xf borderId="0" fillId="0" fontId="20" numFmtId="0" xfId="0" applyFont="1"/>
    <xf borderId="13" fillId="0" fontId="22" numFmtId="0" xfId="0" applyAlignment="1" applyBorder="1" applyFont="1">
      <alignment vertical="center"/>
    </xf>
    <xf borderId="13" fillId="0" fontId="20" numFmtId="0" xfId="0" applyAlignment="1" applyBorder="1" applyFont="1">
      <alignment horizontal="right" shrinkToFit="0" vertical="center" wrapText="1"/>
    </xf>
    <xf borderId="0" fillId="0" fontId="22" numFmtId="0" xfId="0" applyFont="1"/>
    <xf borderId="0" fillId="0" fontId="23" numFmtId="0" xfId="0" applyFont="1"/>
    <xf borderId="0" fillId="0" fontId="20" numFmtId="0" xfId="0" applyAlignment="1" applyFont="1">
      <alignment horizontal="left" shrinkToFit="0" vertical="top" wrapText="1"/>
    </xf>
    <xf borderId="14" fillId="2" fontId="14" numFmtId="0" xfId="0" applyAlignment="1" applyBorder="1" applyFont="1">
      <alignment horizontal="center" vertical="center"/>
    </xf>
    <xf borderId="14" fillId="2" fontId="14" numFmtId="0" xfId="0" applyAlignment="1" applyBorder="1" applyFont="1">
      <alignment horizontal="center" shrinkToFit="0" vertical="center" wrapText="1"/>
    </xf>
    <xf borderId="40" fillId="2" fontId="14" numFmtId="0" xfId="0" applyAlignment="1" applyBorder="1" applyFont="1">
      <alignment horizontal="center" vertical="center"/>
    </xf>
    <xf borderId="13" fillId="2" fontId="14" numFmtId="164" xfId="0" applyAlignment="1" applyBorder="1" applyFont="1" applyNumberFormat="1">
      <alignment horizontal="center" vertical="center"/>
    </xf>
    <xf borderId="13" fillId="0" fontId="3" numFmtId="0" xfId="0" applyAlignment="1" applyBorder="1" applyFont="1">
      <alignment horizontal="left" vertical="center"/>
    </xf>
    <xf borderId="13" fillId="0" fontId="13" numFmtId="0" xfId="0" applyBorder="1" applyFont="1"/>
    <xf borderId="40" fillId="7" fontId="1" numFmtId="0" xfId="0" applyAlignment="1" applyBorder="1" applyFont="1">
      <alignment horizontal="left" shrinkToFit="0" vertical="top" wrapText="1"/>
    </xf>
    <xf borderId="13" fillId="0" fontId="3" numFmtId="14" xfId="0" applyAlignment="1" applyBorder="1" applyFont="1" applyNumberFormat="1">
      <alignment horizontal="left" shrinkToFit="0" vertical="top" wrapText="1"/>
    </xf>
    <xf borderId="13" fillId="2" fontId="14" numFmtId="0" xfId="0" applyAlignment="1" applyBorder="1" applyFont="1">
      <alignment vertical="center"/>
    </xf>
    <xf borderId="0" fillId="0" fontId="24" numFmtId="0" xfId="0" applyFont="1"/>
    <xf borderId="40" fillId="0" fontId="3" numFmtId="0" xfId="0" applyAlignment="1" applyBorder="1" applyFont="1">
      <alignment horizontal="left" vertical="center"/>
    </xf>
    <xf borderId="0" fillId="0" fontId="19" numFmtId="0" xfId="0" applyFont="1"/>
    <xf borderId="14" fillId="8" fontId="14" numFmtId="0" xfId="0" applyAlignment="1" applyBorder="1" applyFill="1" applyFont="1">
      <alignment horizontal="left" vertical="center"/>
    </xf>
    <xf borderId="14" fillId="8" fontId="14" numFmtId="0" xfId="0" applyAlignment="1" applyBorder="1" applyFont="1">
      <alignment horizontal="left" shrinkToFit="0" vertical="center" wrapText="1"/>
    </xf>
    <xf borderId="40" fillId="8" fontId="14" numFmtId="0" xfId="0" applyAlignment="1" applyBorder="1" applyFont="1">
      <alignment horizontal="left" vertical="center"/>
    </xf>
    <xf borderId="13" fillId="8" fontId="14" numFmtId="0" xfId="0" applyAlignment="1" applyBorder="1" applyFont="1">
      <alignment horizontal="left" vertical="center"/>
    </xf>
    <xf borderId="13" fillId="8" fontId="14" numFmtId="164" xfId="0" applyAlignment="1" applyBorder="1" applyFont="1" applyNumberFormat="1">
      <alignment horizontal="left" vertical="center"/>
    </xf>
    <xf borderId="45" fillId="6" fontId="1" numFmtId="0" xfId="0" applyAlignment="1" applyBorder="1" applyFont="1">
      <alignment horizontal="left" vertical="center"/>
    </xf>
    <xf borderId="46" fillId="0" fontId="2" numFmtId="0" xfId="0" applyBorder="1" applyFont="1"/>
    <xf borderId="47" fillId="0" fontId="2" numFmtId="0" xfId="0" applyBorder="1" applyFont="1"/>
    <xf borderId="0" fillId="0" fontId="15" numFmtId="0" xfId="0" applyAlignment="1" applyFont="1">
      <alignment horizontal="left" shrinkToFit="0" vertical="top" wrapText="1"/>
    </xf>
    <xf borderId="48" fillId="0" fontId="15" numFmtId="0" xfId="0" applyAlignment="1" applyBorder="1" applyFont="1">
      <alignment shrinkToFit="0" vertical="top" wrapText="1"/>
    </xf>
    <xf borderId="0" fillId="0" fontId="15" numFmtId="0" xfId="0" applyAlignment="1" applyFont="1">
      <alignment shrinkToFit="0" vertical="top" wrapText="1"/>
    </xf>
    <xf borderId="13" fillId="0" fontId="15" numFmtId="0" xfId="0" applyAlignment="1" applyBorder="1" applyFont="1">
      <alignment horizontal="left" shrinkToFit="0" vertical="top" wrapText="1"/>
    </xf>
    <xf borderId="49" fillId="7" fontId="1" numFmtId="0" xfId="0" applyAlignment="1" applyBorder="1" applyFont="1">
      <alignment horizontal="left" vertical="center"/>
    </xf>
    <xf borderId="50" fillId="0" fontId="2" numFmtId="0" xfId="0" applyBorder="1" applyFont="1"/>
    <xf borderId="51" fillId="0" fontId="2" numFmtId="0" xfId="0" applyBorder="1" applyFont="1"/>
    <xf borderId="40" fillId="6" fontId="1" numFmtId="0" xfId="0" applyAlignment="1" applyBorder="1" applyFont="1">
      <alignment horizontal="left" vertical="center"/>
    </xf>
    <xf borderId="13" fillId="0" fontId="3" numFmtId="14" xfId="0" applyBorder="1" applyFont="1" applyNumberFormat="1"/>
    <xf borderId="13" fillId="0" fontId="3" numFmtId="14" xfId="0" applyAlignment="1" applyBorder="1" applyFont="1" applyNumberFormat="1">
      <alignment horizontal="left" vertical="center"/>
    </xf>
    <xf borderId="21" fillId="0" fontId="15" numFmtId="0" xfId="0" applyAlignment="1" applyBorder="1" applyFont="1">
      <alignment horizontal="center"/>
    </xf>
    <xf borderId="48" fillId="0" fontId="15" numFmtId="0" xfId="0" applyAlignment="1" applyBorder="1" applyFont="1">
      <alignment horizontal="center"/>
    </xf>
    <xf borderId="48" fillId="0" fontId="2" numFmtId="0" xfId="0" applyBorder="1" applyFont="1"/>
    <xf borderId="35" fillId="0" fontId="1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1.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6.jpg"/><Relationship Id="rId3" Type="http://schemas.openxmlformats.org/officeDocument/2006/relationships/image" Target="../media/image4.jpg"/></Relationships>
</file>

<file path=xl/drawings/_rels/drawing6.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8.jpg"/><Relationship Id="rId3" Type="http://schemas.openxmlformats.org/officeDocument/2006/relationships/image" Target="../media/image9.jpg"/></Relationships>
</file>

<file path=xl/drawings/_rels/drawing7.xml.rels><?xml version="1.0" encoding="UTF-8" standalone="yes"?><Relationships xmlns="http://schemas.openxmlformats.org/package/2006/relationships"><Relationship Id="rId1" Type="http://schemas.openxmlformats.org/officeDocument/2006/relationships/image" Target="../media/image10.jp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g"/><Relationship Id="rId2" Type="http://schemas.openxmlformats.org/officeDocument/2006/relationships/image" Target="../media/image1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4.jpg"/><Relationship Id="rId2" Type="http://schemas.openxmlformats.org/officeDocument/2006/relationships/image" Target="../media/image16.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8.jpg"/><Relationship Id="rId2" Type="http://schemas.openxmlformats.org/officeDocument/2006/relationships/image" Target="../media/image17.jpg"/><Relationship Id="rId3" Type="http://schemas.openxmlformats.org/officeDocument/2006/relationships/image" Target="../media/image1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1447800</xdr:colOff>
      <xdr:row>5</xdr:row>
      <xdr:rowOff>104775</xdr:rowOff>
    </xdr:from>
    <xdr:ext cx="2628900" cy="47815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1400175</xdr:colOff>
      <xdr:row>10</xdr:row>
      <xdr:rowOff>0</xdr:rowOff>
    </xdr:from>
    <xdr:ext cx="2714625" cy="25527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1066800</xdr:colOff>
      <xdr:row>5</xdr:row>
      <xdr:rowOff>114300</xdr:rowOff>
    </xdr:from>
    <xdr:ext cx="4171950" cy="50101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5</xdr:row>
      <xdr:rowOff>428625</xdr:rowOff>
    </xdr:from>
    <xdr:ext cx="6267450" cy="483870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2505075</xdr:colOff>
      <xdr:row>5</xdr:row>
      <xdr:rowOff>457200</xdr:rowOff>
    </xdr:from>
    <xdr:ext cx="5915025" cy="481965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2400300</xdr:colOff>
      <xdr:row>5</xdr:row>
      <xdr:rowOff>447675</xdr:rowOff>
    </xdr:from>
    <xdr:ext cx="4895850" cy="481965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590550</xdr:colOff>
      <xdr:row>9</xdr:row>
      <xdr:rowOff>57150</xdr:rowOff>
    </xdr:from>
    <xdr:ext cx="2628900" cy="2990850"/>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1143000</xdr:colOff>
      <xdr:row>5</xdr:row>
      <xdr:rowOff>114300</xdr:rowOff>
    </xdr:from>
    <xdr:ext cx="7610475" cy="463867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447675</xdr:colOff>
      <xdr:row>5</xdr:row>
      <xdr:rowOff>104775</xdr:rowOff>
    </xdr:from>
    <xdr:ext cx="8010525" cy="4733925"/>
    <xdr:pic>
      <xdr:nvPicPr>
        <xdr:cNvPr id="0" name="image9.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1371600</xdr:colOff>
      <xdr:row>5</xdr:row>
      <xdr:rowOff>9525</xdr:rowOff>
    </xdr:from>
    <xdr:ext cx="5076825" cy="4295775"/>
    <xdr:pic>
      <xdr:nvPicPr>
        <xdr:cNvPr id="0" name="image10.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733425</xdr:colOff>
      <xdr:row>5</xdr:row>
      <xdr:rowOff>285750</xdr:rowOff>
    </xdr:from>
    <xdr:ext cx="6724650" cy="410527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5</xdr:row>
      <xdr:rowOff>219075</xdr:rowOff>
    </xdr:from>
    <xdr:ext cx="5314950" cy="4105275"/>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1057275</xdr:colOff>
      <xdr:row>5</xdr:row>
      <xdr:rowOff>66675</xdr:rowOff>
    </xdr:from>
    <xdr:ext cx="3952875" cy="4800600"/>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6</xdr:row>
      <xdr:rowOff>38100</xdr:rowOff>
    </xdr:from>
    <xdr:ext cx="6953250" cy="4314825"/>
    <xdr:pic>
      <xdr:nvPicPr>
        <xdr:cNvPr id="0" name="image14.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1076325</xdr:colOff>
      <xdr:row>5</xdr:row>
      <xdr:rowOff>171450</xdr:rowOff>
    </xdr:from>
    <xdr:ext cx="5895975" cy="4657725"/>
    <xdr:pic>
      <xdr:nvPicPr>
        <xdr:cNvPr id="0" name="image16.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914400</xdr:colOff>
      <xdr:row>5</xdr:row>
      <xdr:rowOff>57150</xdr:rowOff>
    </xdr:from>
    <xdr:ext cx="4181475" cy="4762500"/>
    <xdr:pic>
      <xdr:nvPicPr>
        <xdr:cNvPr id="0" name="image18.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171450</xdr:colOff>
      <xdr:row>6</xdr:row>
      <xdr:rowOff>47625</xdr:rowOff>
    </xdr:from>
    <xdr:ext cx="4171950" cy="4648200"/>
    <xdr:pic>
      <xdr:nvPicPr>
        <xdr:cNvPr id="0" name="image17.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133350</xdr:colOff>
      <xdr:row>6</xdr:row>
      <xdr:rowOff>161925</xdr:rowOff>
    </xdr:from>
    <xdr:ext cx="4171950" cy="3990975"/>
    <xdr:pic>
      <xdr:nvPicPr>
        <xdr:cNvPr id="0" name="image15.jpg"/>
        <xdr:cNvPicPr preferRelativeResize="0"/>
      </xdr:nvPicPr>
      <xdr:blipFill>
        <a:blip cstate="print" r:embed="rId3"/>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53.71"/>
    <col customWidth="1" min="3" max="3" width="49.29"/>
    <col customWidth="1" min="4" max="4" width="41.86"/>
    <col customWidth="1" min="5" max="26" width="9.14"/>
  </cols>
  <sheetData>
    <row r="1" ht="16.5" customHeight="1">
      <c r="A1" s="1" t="s">
        <v>0</v>
      </c>
      <c r="B1" s="2"/>
      <c r="C1" s="2"/>
      <c r="D1" s="3"/>
      <c r="E1" s="4"/>
      <c r="F1" s="4"/>
      <c r="G1" s="4"/>
      <c r="H1" s="4"/>
      <c r="I1" s="4"/>
      <c r="J1" s="4"/>
      <c r="K1" s="4"/>
      <c r="L1" s="4"/>
      <c r="M1" s="4"/>
      <c r="N1" s="4"/>
      <c r="O1" s="4"/>
      <c r="P1" s="4"/>
      <c r="Q1" s="4"/>
      <c r="R1" s="4"/>
      <c r="S1" s="4"/>
      <c r="T1" s="4"/>
      <c r="U1" s="4"/>
      <c r="V1" s="4"/>
      <c r="W1" s="4"/>
      <c r="X1" s="4"/>
      <c r="Y1" s="4"/>
      <c r="Z1" s="4"/>
    </row>
    <row r="2" ht="16.5" customHeight="1">
      <c r="A2" s="5"/>
      <c r="B2" s="6"/>
      <c r="C2" s="6"/>
      <c r="D2" s="7"/>
      <c r="E2" s="4"/>
      <c r="F2" s="4"/>
      <c r="G2" s="4"/>
      <c r="H2" s="4"/>
      <c r="I2" s="4"/>
      <c r="J2" s="4"/>
      <c r="K2" s="4"/>
      <c r="L2" s="4"/>
      <c r="M2" s="4"/>
      <c r="N2" s="4"/>
      <c r="O2" s="4"/>
      <c r="P2" s="4"/>
      <c r="Q2" s="4"/>
      <c r="R2" s="4"/>
      <c r="S2" s="4"/>
      <c r="T2" s="4"/>
      <c r="U2" s="4"/>
      <c r="V2" s="4"/>
      <c r="W2" s="4"/>
      <c r="X2" s="4"/>
      <c r="Y2" s="4"/>
      <c r="Z2" s="4"/>
    </row>
    <row r="3" ht="16.5" customHeight="1">
      <c r="A3" s="8" t="s">
        <v>1</v>
      </c>
      <c r="B3" s="9" t="s">
        <v>2</v>
      </c>
      <c r="C3" s="10"/>
      <c r="D3" s="11"/>
      <c r="E3" s="4"/>
      <c r="F3" s="4"/>
      <c r="G3" s="4"/>
      <c r="H3" s="4"/>
      <c r="I3" s="4"/>
      <c r="J3" s="4"/>
      <c r="K3" s="4"/>
      <c r="L3" s="4"/>
      <c r="M3" s="4"/>
      <c r="N3" s="4"/>
      <c r="O3" s="4"/>
      <c r="P3" s="4"/>
      <c r="Q3" s="4"/>
      <c r="R3" s="4"/>
      <c r="S3" s="4"/>
      <c r="T3" s="4"/>
      <c r="U3" s="4"/>
      <c r="V3" s="4"/>
      <c r="W3" s="4"/>
      <c r="X3" s="4"/>
      <c r="Y3" s="4"/>
      <c r="Z3" s="4"/>
    </row>
    <row r="4" ht="16.5" customHeight="1">
      <c r="A4" s="12" t="s">
        <v>3</v>
      </c>
      <c r="B4" s="12" t="s">
        <v>4</v>
      </c>
      <c r="C4" s="12" t="s">
        <v>5</v>
      </c>
      <c r="D4" s="13" t="s">
        <v>6</v>
      </c>
      <c r="E4" s="14" t="s">
        <v>7</v>
      </c>
      <c r="F4" s="4"/>
      <c r="G4" s="4"/>
      <c r="H4" s="4"/>
      <c r="I4" s="4"/>
      <c r="J4" s="4"/>
      <c r="K4" s="4"/>
      <c r="L4" s="4"/>
      <c r="M4" s="4"/>
      <c r="N4" s="4"/>
      <c r="O4" s="4"/>
      <c r="P4" s="4"/>
      <c r="Q4" s="4"/>
      <c r="R4" s="4"/>
      <c r="S4" s="4"/>
      <c r="T4" s="4"/>
      <c r="U4" s="4"/>
      <c r="V4" s="4"/>
      <c r="W4" s="4"/>
      <c r="X4" s="4"/>
      <c r="Y4" s="4"/>
      <c r="Z4" s="4"/>
    </row>
    <row r="5" ht="16.5" customHeight="1">
      <c r="A5" s="15">
        <v>1.0</v>
      </c>
      <c r="B5" s="16" t="s">
        <v>8</v>
      </c>
      <c r="C5" s="16" t="s">
        <v>8</v>
      </c>
      <c r="D5" s="17">
        <v>30.0</v>
      </c>
      <c r="E5" s="18"/>
      <c r="F5" s="4"/>
      <c r="G5" s="4"/>
      <c r="H5" s="4"/>
      <c r="I5" s="4"/>
      <c r="J5" s="4"/>
      <c r="K5" s="4"/>
      <c r="L5" s="4"/>
      <c r="M5" s="4"/>
      <c r="N5" s="4"/>
      <c r="O5" s="4"/>
      <c r="P5" s="4"/>
      <c r="Q5" s="4"/>
      <c r="R5" s="4"/>
      <c r="S5" s="4"/>
      <c r="T5" s="4"/>
      <c r="U5" s="4"/>
      <c r="V5" s="4"/>
      <c r="W5" s="4"/>
      <c r="X5" s="4"/>
      <c r="Y5" s="4"/>
      <c r="Z5" s="4"/>
    </row>
    <row r="6" ht="16.5" customHeight="1">
      <c r="A6" s="19">
        <v>2.0</v>
      </c>
      <c r="B6" s="16" t="s">
        <v>9</v>
      </c>
      <c r="C6" s="19" t="s">
        <v>10</v>
      </c>
      <c r="D6" s="20">
        <v>17.0</v>
      </c>
      <c r="E6" s="21"/>
      <c r="F6" s="4"/>
      <c r="G6" s="4"/>
      <c r="H6" s="4"/>
      <c r="I6" s="4"/>
      <c r="J6" s="4"/>
      <c r="K6" s="4"/>
      <c r="L6" s="4"/>
      <c r="M6" s="4"/>
      <c r="N6" s="4"/>
      <c r="O6" s="4"/>
      <c r="P6" s="4"/>
      <c r="Q6" s="4"/>
      <c r="R6" s="4"/>
      <c r="S6" s="4"/>
      <c r="T6" s="4"/>
      <c r="U6" s="4"/>
      <c r="V6" s="4"/>
      <c r="W6" s="4"/>
      <c r="X6" s="4"/>
      <c r="Y6" s="4"/>
      <c r="Z6" s="4"/>
    </row>
    <row r="7" ht="16.5" customHeight="1">
      <c r="A7" s="21"/>
      <c r="B7" s="22" t="s">
        <v>11</v>
      </c>
      <c r="C7" s="21"/>
      <c r="D7" s="21"/>
      <c r="E7" s="21"/>
      <c r="F7" s="4"/>
      <c r="G7" s="4"/>
      <c r="H7" s="4"/>
      <c r="I7" s="4"/>
      <c r="J7" s="4"/>
      <c r="K7" s="4"/>
      <c r="L7" s="4"/>
      <c r="M7" s="4"/>
      <c r="N7" s="4"/>
      <c r="O7" s="4"/>
      <c r="P7" s="4"/>
      <c r="Q7" s="4"/>
      <c r="R7" s="4"/>
      <c r="S7" s="4"/>
      <c r="T7" s="4"/>
      <c r="U7" s="4"/>
      <c r="V7" s="4"/>
      <c r="W7" s="4"/>
      <c r="X7" s="4"/>
      <c r="Y7" s="4"/>
      <c r="Z7" s="4"/>
    </row>
    <row r="8" ht="16.5" customHeight="1">
      <c r="A8" s="21"/>
      <c r="B8" s="17" t="s">
        <v>12</v>
      </c>
      <c r="C8" s="21"/>
      <c r="D8" s="21"/>
      <c r="E8" s="21"/>
      <c r="F8" s="4"/>
      <c r="G8" s="4"/>
      <c r="H8" s="4"/>
      <c r="I8" s="4"/>
      <c r="J8" s="4"/>
      <c r="K8" s="4"/>
      <c r="L8" s="4"/>
      <c r="M8" s="4"/>
      <c r="N8" s="4"/>
      <c r="O8" s="4"/>
      <c r="P8" s="4"/>
      <c r="Q8" s="4"/>
      <c r="R8" s="4"/>
      <c r="S8" s="4"/>
      <c r="T8" s="4"/>
      <c r="U8" s="4"/>
      <c r="V8" s="4"/>
      <c r="W8" s="4"/>
      <c r="X8" s="4"/>
      <c r="Y8" s="4"/>
      <c r="Z8" s="4"/>
    </row>
    <row r="9" ht="16.5" customHeight="1">
      <c r="A9" s="23"/>
      <c r="B9" s="17" t="s">
        <v>13</v>
      </c>
      <c r="C9" s="23"/>
      <c r="D9" s="23"/>
      <c r="E9" s="21"/>
      <c r="F9" s="4"/>
      <c r="G9" s="4"/>
      <c r="H9" s="4"/>
      <c r="I9" s="4"/>
      <c r="J9" s="4"/>
      <c r="K9" s="4"/>
      <c r="L9" s="4"/>
      <c r="M9" s="4"/>
      <c r="N9" s="4"/>
      <c r="O9" s="4"/>
      <c r="P9" s="4"/>
      <c r="Q9" s="4"/>
      <c r="R9" s="4"/>
      <c r="S9" s="4"/>
      <c r="T9" s="4"/>
      <c r="U9" s="4"/>
      <c r="V9" s="4"/>
      <c r="W9" s="4"/>
      <c r="X9" s="4"/>
      <c r="Y9" s="4"/>
      <c r="Z9" s="4"/>
    </row>
    <row r="10" ht="16.5" customHeight="1">
      <c r="A10" s="15">
        <v>3.0</v>
      </c>
      <c r="B10" s="24" t="s">
        <v>14</v>
      </c>
      <c r="C10" s="15" t="s">
        <v>14</v>
      </c>
      <c r="D10" s="17">
        <v>22.0</v>
      </c>
      <c r="E10" s="21"/>
      <c r="F10" s="4"/>
      <c r="G10" s="4"/>
      <c r="H10" s="4"/>
      <c r="I10" s="4"/>
      <c r="J10" s="4"/>
      <c r="K10" s="4"/>
      <c r="L10" s="4"/>
      <c r="M10" s="4"/>
      <c r="N10" s="4"/>
      <c r="O10" s="4"/>
      <c r="P10" s="4"/>
      <c r="Q10" s="4"/>
      <c r="R10" s="4"/>
      <c r="S10" s="4"/>
      <c r="T10" s="4"/>
      <c r="U10" s="4"/>
      <c r="V10" s="4"/>
      <c r="W10" s="4"/>
      <c r="X10" s="4"/>
      <c r="Y10" s="4"/>
      <c r="Z10" s="4"/>
    </row>
    <row r="11" ht="16.5" customHeight="1">
      <c r="A11" s="20">
        <v>4.0</v>
      </c>
      <c r="B11" s="17" t="s">
        <v>15</v>
      </c>
      <c r="C11" s="19" t="s">
        <v>16</v>
      </c>
      <c r="D11" s="20">
        <v>25.0</v>
      </c>
      <c r="E11" s="21"/>
      <c r="F11" s="4"/>
      <c r="G11" s="4"/>
      <c r="H11" s="4"/>
      <c r="I11" s="4"/>
      <c r="J11" s="4"/>
      <c r="K11" s="4"/>
      <c r="L11" s="4"/>
      <c r="M11" s="4"/>
      <c r="N11" s="4"/>
      <c r="O11" s="4"/>
      <c r="P11" s="4"/>
      <c r="Q11" s="4"/>
      <c r="R11" s="4"/>
      <c r="S11" s="4"/>
      <c r="T11" s="4"/>
      <c r="U11" s="4"/>
      <c r="V11" s="4"/>
      <c r="W11" s="4"/>
      <c r="X11" s="4"/>
      <c r="Y11" s="4"/>
      <c r="Z11" s="4"/>
    </row>
    <row r="12" ht="16.5" customHeight="1">
      <c r="A12" s="21"/>
      <c r="B12" s="17" t="s">
        <v>17</v>
      </c>
      <c r="C12" s="21"/>
      <c r="D12" s="21"/>
      <c r="E12" s="21"/>
      <c r="F12" s="4"/>
      <c r="G12" s="4"/>
      <c r="H12" s="4"/>
      <c r="I12" s="4"/>
      <c r="J12" s="4"/>
      <c r="K12" s="4"/>
      <c r="L12" s="4"/>
      <c r="M12" s="4"/>
      <c r="N12" s="4"/>
      <c r="O12" s="4"/>
      <c r="P12" s="4"/>
      <c r="Q12" s="4"/>
      <c r="R12" s="4"/>
      <c r="S12" s="4"/>
      <c r="T12" s="4"/>
      <c r="U12" s="4"/>
      <c r="V12" s="4"/>
      <c r="W12" s="4"/>
      <c r="X12" s="4"/>
      <c r="Y12" s="4"/>
      <c r="Z12" s="4"/>
    </row>
    <row r="13" ht="16.5" customHeight="1">
      <c r="A13" s="21"/>
      <c r="B13" s="17" t="s">
        <v>18</v>
      </c>
      <c r="C13" s="21"/>
      <c r="D13" s="21"/>
      <c r="E13" s="21"/>
      <c r="F13" s="4"/>
      <c r="G13" s="4"/>
      <c r="H13" s="4"/>
      <c r="I13" s="4"/>
      <c r="J13" s="4"/>
      <c r="K13" s="4"/>
      <c r="L13" s="4"/>
      <c r="M13" s="4"/>
      <c r="N13" s="4"/>
      <c r="O13" s="4"/>
      <c r="P13" s="4"/>
      <c r="Q13" s="4"/>
      <c r="R13" s="4"/>
      <c r="S13" s="4"/>
      <c r="T13" s="4"/>
      <c r="U13" s="4"/>
      <c r="V13" s="4"/>
      <c r="W13" s="4"/>
      <c r="X13" s="4"/>
      <c r="Y13" s="4"/>
      <c r="Z13" s="4"/>
    </row>
    <row r="14" ht="16.5" customHeight="1">
      <c r="A14" s="21"/>
      <c r="B14" s="17" t="s">
        <v>19</v>
      </c>
      <c r="C14" s="21"/>
      <c r="D14" s="21"/>
      <c r="E14" s="21"/>
      <c r="F14" s="4"/>
      <c r="G14" s="4"/>
      <c r="H14" s="4"/>
      <c r="I14" s="4"/>
      <c r="J14" s="4"/>
      <c r="K14" s="4"/>
      <c r="L14" s="4"/>
      <c r="M14" s="4"/>
      <c r="N14" s="4"/>
      <c r="O14" s="4"/>
      <c r="P14" s="4"/>
      <c r="Q14" s="4"/>
      <c r="R14" s="4"/>
      <c r="S14" s="4"/>
      <c r="T14" s="4"/>
      <c r="U14" s="4"/>
      <c r="V14" s="4"/>
      <c r="W14" s="4"/>
      <c r="X14" s="4"/>
      <c r="Y14" s="4"/>
      <c r="Z14" s="4"/>
    </row>
    <row r="15" ht="16.5" customHeight="1">
      <c r="A15" s="23"/>
      <c r="B15" s="17" t="s">
        <v>20</v>
      </c>
      <c r="C15" s="23"/>
      <c r="D15" s="23"/>
      <c r="E15" s="21"/>
      <c r="F15" s="4"/>
      <c r="G15" s="4"/>
      <c r="H15" s="4"/>
      <c r="I15" s="4"/>
      <c r="J15" s="4"/>
      <c r="K15" s="4"/>
      <c r="L15" s="4"/>
      <c r="M15" s="4"/>
      <c r="N15" s="4"/>
      <c r="O15" s="4"/>
      <c r="P15" s="4"/>
      <c r="Q15" s="4"/>
      <c r="R15" s="4"/>
      <c r="S15" s="4"/>
      <c r="T15" s="4"/>
      <c r="U15" s="4"/>
      <c r="V15" s="4"/>
      <c r="W15" s="4"/>
      <c r="X15" s="4"/>
      <c r="Y15" s="4"/>
      <c r="Z15" s="4"/>
    </row>
    <row r="16" ht="16.5" customHeight="1">
      <c r="A16" s="20">
        <v>5.0</v>
      </c>
      <c r="B16" s="17" t="s">
        <v>21</v>
      </c>
      <c r="C16" s="20" t="s">
        <v>22</v>
      </c>
      <c r="D16" s="20">
        <v>29.0</v>
      </c>
      <c r="E16" s="21"/>
      <c r="F16" s="4"/>
      <c r="G16" s="4"/>
      <c r="H16" s="4"/>
      <c r="I16" s="4"/>
      <c r="J16" s="4"/>
      <c r="K16" s="4"/>
      <c r="L16" s="4"/>
      <c r="M16" s="4"/>
      <c r="N16" s="4"/>
      <c r="O16" s="4"/>
      <c r="P16" s="4"/>
      <c r="Q16" s="4"/>
      <c r="R16" s="4"/>
      <c r="S16" s="4"/>
      <c r="T16" s="4"/>
      <c r="U16" s="4"/>
      <c r="V16" s="4"/>
      <c r="W16" s="4"/>
      <c r="X16" s="4"/>
      <c r="Y16" s="4"/>
      <c r="Z16" s="4"/>
    </row>
    <row r="17" ht="16.5" customHeight="1">
      <c r="A17" s="21"/>
      <c r="B17" s="17" t="s">
        <v>23</v>
      </c>
      <c r="C17" s="21"/>
      <c r="D17" s="21"/>
      <c r="E17" s="21"/>
      <c r="F17" s="4"/>
      <c r="G17" s="4"/>
      <c r="H17" s="4"/>
      <c r="I17" s="4"/>
      <c r="J17" s="4"/>
      <c r="K17" s="4"/>
      <c r="L17" s="4"/>
      <c r="M17" s="4"/>
      <c r="N17" s="4"/>
      <c r="O17" s="4"/>
      <c r="P17" s="4"/>
      <c r="Q17" s="4"/>
      <c r="R17" s="4"/>
      <c r="S17" s="4"/>
      <c r="T17" s="4"/>
      <c r="U17" s="4"/>
      <c r="V17" s="4"/>
      <c r="W17" s="4"/>
      <c r="X17" s="4"/>
      <c r="Y17" s="4"/>
      <c r="Z17" s="4"/>
    </row>
    <row r="18" ht="16.5" customHeight="1">
      <c r="A18" s="21"/>
      <c r="B18" s="17" t="s">
        <v>24</v>
      </c>
      <c r="C18" s="21"/>
      <c r="D18" s="21"/>
      <c r="E18" s="21"/>
      <c r="F18" s="4"/>
      <c r="G18" s="4"/>
      <c r="H18" s="4"/>
      <c r="I18" s="4"/>
      <c r="J18" s="4"/>
      <c r="K18" s="4"/>
      <c r="L18" s="4"/>
      <c r="M18" s="4"/>
      <c r="N18" s="4"/>
      <c r="O18" s="4"/>
      <c r="P18" s="4"/>
      <c r="Q18" s="4"/>
      <c r="R18" s="4"/>
      <c r="S18" s="4"/>
      <c r="T18" s="4"/>
      <c r="U18" s="4"/>
      <c r="V18" s="4"/>
      <c r="W18" s="4"/>
      <c r="X18" s="4"/>
      <c r="Y18" s="4"/>
      <c r="Z18" s="4"/>
    </row>
    <row r="19" ht="16.5" customHeight="1">
      <c r="A19" s="21"/>
      <c r="B19" s="17" t="s">
        <v>25</v>
      </c>
      <c r="C19" s="21"/>
      <c r="D19" s="21"/>
      <c r="E19" s="21"/>
      <c r="F19" s="4"/>
      <c r="G19" s="4"/>
      <c r="H19" s="4"/>
      <c r="I19" s="4"/>
      <c r="J19" s="4"/>
      <c r="K19" s="4"/>
      <c r="L19" s="4"/>
      <c r="M19" s="4"/>
      <c r="N19" s="4"/>
      <c r="O19" s="4"/>
      <c r="P19" s="4"/>
      <c r="Q19" s="4"/>
      <c r="R19" s="4"/>
      <c r="S19" s="4"/>
      <c r="T19" s="4"/>
      <c r="U19" s="4"/>
      <c r="V19" s="4"/>
      <c r="W19" s="4"/>
      <c r="X19" s="4"/>
      <c r="Y19" s="4"/>
      <c r="Z19" s="4"/>
    </row>
    <row r="20" ht="16.5" customHeight="1">
      <c r="A20" s="21"/>
      <c r="B20" s="17" t="s">
        <v>26</v>
      </c>
      <c r="C20" s="21"/>
      <c r="D20" s="21"/>
      <c r="E20" s="21"/>
      <c r="F20" s="4"/>
      <c r="G20" s="4"/>
      <c r="H20" s="4"/>
      <c r="I20" s="4"/>
      <c r="J20" s="4"/>
      <c r="K20" s="4"/>
      <c r="L20" s="4"/>
      <c r="M20" s="4"/>
      <c r="N20" s="4"/>
      <c r="O20" s="4"/>
      <c r="P20" s="4"/>
      <c r="Q20" s="4"/>
      <c r="R20" s="4"/>
      <c r="S20" s="4"/>
      <c r="T20" s="4"/>
      <c r="U20" s="4"/>
      <c r="V20" s="4"/>
      <c r="W20" s="4"/>
      <c r="X20" s="4"/>
      <c r="Y20" s="4"/>
      <c r="Z20" s="4"/>
    </row>
    <row r="21" ht="16.5" customHeight="1">
      <c r="A21" s="21"/>
      <c r="B21" s="17" t="s">
        <v>27</v>
      </c>
      <c r="C21" s="21"/>
      <c r="D21" s="21"/>
      <c r="E21" s="21"/>
      <c r="F21" s="4"/>
      <c r="G21" s="4"/>
      <c r="H21" s="4"/>
      <c r="I21" s="4"/>
      <c r="J21" s="4"/>
      <c r="K21" s="4"/>
      <c r="L21" s="4"/>
      <c r="M21" s="4"/>
      <c r="N21" s="4"/>
      <c r="O21" s="4"/>
      <c r="P21" s="4"/>
      <c r="Q21" s="4"/>
      <c r="R21" s="4"/>
      <c r="S21" s="4"/>
      <c r="T21" s="4"/>
      <c r="U21" s="4"/>
      <c r="V21" s="4"/>
      <c r="W21" s="4"/>
      <c r="X21" s="4"/>
      <c r="Y21" s="4"/>
      <c r="Z21" s="4"/>
    </row>
    <row r="22" ht="16.5" customHeight="1">
      <c r="A22" s="21"/>
      <c r="B22" s="17" t="s">
        <v>28</v>
      </c>
      <c r="C22" s="21"/>
      <c r="D22" s="21"/>
      <c r="E22" s="21"/>
      <c r="F22" s="4"/>
      <c r="G22" s="4"/>
      <c r="H22" s="4"/>
      <c r="I22" s="4"/>
      <c r="J22" s="4"/>
      <c r="K22" s="4"/>
      <c r="L22" s="4"/>
      <c r="M22" s="4"/>
      <c r="N22" s="4"/>
      <c r="O22" s="4"/>
      <c r="P22" s="4"/>
      <c r="Q22" s="4"/>
      <c r="R22" s="4"/>
      <c r="S22" s="4"/>
      <c r="T22" s="4"/>
      <c r="U22" s="4"/>
      <c r="V22" s="4"/>
      <c r="W22" s="4"/>
      <c r="X22" s="4"/>
      <c r="Y22" s="4"/>
      <c r="Z22" s="4"/>
    </row>
    <row r="23" ht="16.5" customHeight="1">
      <c r="A23" s="21"/>
      <c r="B23" s="17" t="s">
        <v>29</v>
      </c>
      <c r="C23" s="21"/>
      <c r="D23" s="21"/>
      <c r="E23" s="21"/>
      <c r="F23" s="4"/>
      <c r="G23" s="4"/>
      <c r="H23" s="4"/>
      <c r="I23" s="4"/>
      <c r="J23" s="4"/>
      <c r="K23" s="4"/>
      <c r="L23" s="4"/>
      <c r="M23" s="4"/>
      <c r="N23" s="4"/>
      <c r="O23" s="4"/>
      <c r="P23" s="4"/>
      <c r="Q23" s="4"/>
      <c r="R23" s="4"/>
      <c r="S23" s="4"/>
      <c r="T23" s="4"/>
      <c r="U23" s="4"/>
      <c r="V23" s="4"/>
      <c r="W23" s="4"/>
      <c r="X23" s="4"/>
      <c r="Y23" s="4"/>
      <c r="Z23" s="4"/>
    </row>
    <row r="24" ht="16.5" customHeight="1">
      <c r="A24" s="23"/>
      <c r="B24" s="17" t="s">
        <v>30</v>
      </c>
      <c r="C24" s="23"/>
      <c r="D24" s="23"/>
      <c r="E24" s="21"/>
      <c r="F24" s="4"/>
      <c r="G24" s="4"/>
      <c r="H24" s="4"/>
      <c r="I24" s="4"/>
      <c r="J24" s="4"/>
      <c r="K24" s="4"/>
      <c r="L24" s="4"/>
      <c r="M24" s="4"/>
      <c r="N24" s="4"/>
      <c r="O24" s="4"/>
      <c r="P24" s="4"/>
      <c r="Q24" s="4"/>
      <c r="R24" s="4"/>
      <c r="S24" s="4"/>
      <c r="T24" s="4"/>
      <c r="U24" s="4"/>
      <c r="V24" s="4"/>
      <c r="W24" s="4"/>
      <c r="X24" s="4"/>
      <c r="Y24" s="4"/>
      <c r="Z24" s="4"/>
    </row>
    <row r="25" ht="16.5" customHeight="1">
      <c r="A25" s="20">
        <v>6.0</v>
      </c>
      <c r="B25" s="17" t="s">
        <v>31</v>
      </c>
      <c r="C25" s="20" t="s">
        <v>31</v>
      </c>
      <c r="D25" s="20">
        <v>20.0</v>
      </c>
      <c r="E25" s="21"/>
      <c r="F25" s="4"/>
      <c r="G25" s="4"/>
      <c r="H25" s="4"/>
      <c r="I25" s="4"/>
      <c r="J25" s="4"/>
      <c r="K25" s="4"/>
      <c r="L25" s="4"/>
      <c r="M25" s="4"/>
      <c r="N25" s="4"/>
      <c r="O25" s="4"/>
      <c r="P25" s="4"/>
      <c r="Q25" s="4"/>
      <c r="R25" s="4"/>
      <c r="S25" s="4"/>
      <c r="T25" s="4"/>
      <c r="U25" s="4"/>
      <c r="V25" s="4"/>
      <c r="W25" s="4"/>
      <c r="X25" s="4"/>
      <c r="Y25" s="4"/>
      <c r="Z25" s="4"/>
    </row>
    <row r="26" ht="16.5" customHeight="1">
      <c r="A26" s="21"/>
      <c r="B26" s="17" t="s">
        <v>32</v>
      </c>
      <c r="C26" s="21"/>
      <c r="D26" s="21"/>
      <c r="E26" s="21"/>
      <c r="F26" s="4"/>
      <c r="G26" s="4"/>
      <c r="H26" s="4"/>
      <c r="I26" s="4"/>
      <c r="J26" s="4"/>
      <c r="K26" s="4"/>
      <c r="L26" s="4"/>
      <c r="M26" s="4"/>
      <c r="N26" s="4"/>
      <c r="O26" s="4"/>
      <c r="P26" s="4"/>
      <c r="Q26" s="4"/>
      <c r="R26" s="4"/>
      <c r="S26" s="4"/>
      <c r="T26" s="4"/>
      <c r="U26" s="4"/>
      <c r="V26" s="4"/>
      <c r="W26" s="4"/>
      <c r="X26" s="4"/>
      <c r="Y26" s="4"/>
      <c r="Z26" s="4"/>
    </row>
    <row r="27" ht="16.5" customHeight="1">
      <c r="A27" s="21"/>
      <c r="B27" s="17" t="s">
        <v>33</v>
      </c>
      <c r="C27" s="21"/>
      <c r="D27" s="21"/>
      <c r="E27" s="21"/>
      <c r="F27" s="4"/>
      <c r="G27" s="4"/>
      <c r="H27" s="4"/>
      <c r="I27" s="4"/>
      <c r="J27" s="4"/>
      <c r="K27" s="4"/>
      <c r="L27" s="4"/>
      <c r="M27" s="4"/>
      <c r="N27" s="4"/>
      <c r="O27" s="4"/>
      <c r="P27" s="4"/>
      <c r="Q27" s="4"/>
      <c r="R27" s="4"/>
      <c r="S27" s="4"/>
      <c r="T27" s="4"/>
      <c r="U27" s="4"/>
      <c r="V27" s="4"/>
      <c r="W27" s="4"/>
      <c r="X27" s="4"/>
      <c r="Y27" s="4"/>
      <c r="Z27" s="4"/>
    </row>
    <row r="28" ht="16.5" customHeight="1">
      <c r="A28" s="21"/>
      <c r="B28" s="17" t="s">
        <v>34</v>
      </c>
      <c r="C28" s="21"/>
      <c r="D28" s="21"/>
      <c r="E28" s="21"/>
      <c r="F28" s="4"/>
      <c r="G28" s="4"/>
      <c r="H28" s="4"/>
      <c r="I28" s="4"/>
      <c r="J28" s="4"/>
      <c r="K28" s="4"/>
      <c r="L28" s="4"/>
      <c r="M28" s="4"/>
      <c r="N28" s="4"/>
      <c r="O28" s="4"/>
      <c r="P28" s="4"/>
      <c r="Q28" s="4"/>
      <c r="R28" s="4"/>
      <c r="S28" s="4"/>
      <c r="T28" s="4"/>
      <c r="U28" s="4"/>
      <c r="V28" s="4"/>
      <c r="W28" s="4"/>
      <c r="X28" s="4"/>
      <c r="Y28" s="4"/>
      <c r="Z28" s="4"/>
    </row>
    <row r="29" ht="16.5" customHeight="1">
      <c r="A29" s="21"/>
      <c r="B29" s="17" t="s">
        <v>35</v>
      </c>
      <c r="C29" s="21"/>
      <c r="D29" s="21"/>
      <c r="E29" s="21"/>
      <c r="F29" s="4"/>
      <c r="G29" s="4"/>
      <c r="H29" s="4"/>
      <c r="I29" s="4"/>
      <c r="J29" s="4"/>
      <c r="K29" s="4"/>
      <c r="L29" s="4"/>
      <c r="M29" s="4"/>
      <c r="N29" s="4"/>
      <c r="O29" s="4"/>
      <c r="P29" s="4"/>
      <c r="Q29" s="4"/>
      <c r="R29" s="4"/>
      <c r="S29" s="4"/>
      <c r="T29" s="4"/>
      <c r="U29" s="4"/>
      <c r="V29" s="4"/>
      <c r="W29" s="4"/>
      <c r="X29" s="4"/>
      <c r="Y29" s="4"/>
      <c r="Z29" s="4"/>
    </row>
    <row r="30" ht="16.5" customHeight="1">
      <c r="A30" s="21"/>
      <c r="B30" s="17" t="s">
        <v>36</v>
      </c>
      <c r="C30" s="21"/>
      <c r="D30" s="21"/>
      <c r="E30" s="21"/>
      <c r="F30" s="4"/>
      <c r="G30" s="4"/>
      <c r="H30" s="4"/>
      <c r="I30" s="4"/>
      <c r="J30" s="4"/>
      <c r="K30" s="4"/>
      <c r="L30" s="4"/>
      <c r="M30" s="4"/>
      <c r="N30" s="4"/>
      <c r="O30" s="4"/>
      <c r="P30" s="4"/>
      <c r="Q30" s="4"/>
      <c r="R30" s="4"/>
      <c r="S30" s="4"/>
      <c r="T30" s="4"/>
      <c r="U30" s="4"/>
      <c r="V30" s="4"/>
      <c r="W30" s="4"/>
      <c r="X30" s="4"/>
      <c r="Y30" s="4"/>
      <c r="Z30" s="4"/>
    </row>
    <row r="31" ht="16.5" customHeight="1">
      <c r="A31" s="21"/>
      <c r="B31" s="17" t="s">
        <v>37</v>
      </c>
      <c r="C31" s="21"/>
      <c r="D31" s="21"/>
      <c r="E31" s="21"/>
      <c r="F31" s="4"/>
      <c r="G31" s="4"/>
      <c r="H31" s="4"/>
      <c r="I31" s="4"/>
      <c r="J31" s="4"/>
      <c r="K31" s="4"/>
      <c r="L31" s="4"/>
      <c r="M31" s="4"/>
      <c r="N31" s="4"/>
      <c r="O31" s="4"/>
      <c r="P31" s="4"/>
      <c r="Q31" s="4"/>
      <c r="R31" s="4"/>
      <c r="S31" s="4"/>
      <c r="T31" s="4"/>
      <c r="U31" s="4"/>
      <c r="V31" s="4"/>
      <c r="W31" s="4"/>
      <c r="X31" s="4"/>
      <c r="Y31" s="4"/>
      <c r="Z31" s="4"/>
    </row>
    <row r="32" ht="16.5" customHeight="1">
      <c r="A32" s="21"/>
      <c r="B32" s="17" t="s">
        <v>38</v>
      </c>
      <c r="C32" s="21"/>
      <c r="D32" s="21"/>
      <c r="E32" s="21"/>
      <c r="F32" s="4"/>
      <c r="G32" s="4"/>
      <c r="H32" s="4"/>
      <c r="I32" s="4"/>
      <c r="J32" s="4"/>
      <c r="K32" s="4"/>
      <c r="L32" s="4"/>
      <c r="M32" s="4"/>
      <c r="N32" s="4"/>
      <c r="O32" s="4"/>
      <c r="P32" s="4"/>
      <c r="Q32" s="4"/>
      <c r="R32" s="4"/>
      <c r="S32" s="4"/>
      <c r="T32" s="4"/>
      <c r="U32" s="4"/>
      <c r="V32" s="4"/>
      <c r="W32" s="4"/>
      <c r="X32" s="4"/>
      <c r="Y32" s="4"/>
      <c r="Z32" s="4"/>
    </row>
    <row r="33" ht="16.5" customHeight="1">
      <c r="A33" s="21"/>
      <c r="B33" s="17" t="s">
        <v>39</v>
      </c>
      <c r="C33" s="21"/>
      <c r="D33" s="21"/>
      <c r="E33" s="21"/>
      <c r="F33" s="4"/>
      <c r="G33" s="4"/>
      <c r="H33" s="4"/>
      <c r="I33" s="4"/>
      <c r="J33" s="4"/>
      <c r="K33" s="4"/>
      <c r="L33" s="4"/>
      <c r="M33" s="4"/>
      <c r="N33" s="4"/>
      <c r="O33" s="4"/>
      <c r="P33" s="4"/>
      <c r="Q33" s="4"/>
      <c r="R33" s="4"/>
      <c r="S33" s="4"/>
      <c r="T33" s="4"/>
      <c r="U33" s="4"/>
      <c r="V33" s="4"/>
      <c r="W33" s="4"/>
      <c r="X33" s="4"/>
      <c r="Y33" s="4"/>
      <c r="Z33" s="4"/>
    </row>
    <row r="34" ht="16.5" customHeight="1">
      <c r="A34" s="21"/>
      <c r="B34" s="22" t="s">
        <v>40</v>
      </c>
      <c r="C34" s="21"/>
      <c r="D34" s="21"/>
      <c r="E34" s="21"/>
      <c r="F34" s="4"/>
      <c r="G34" s="4"/>
      <c r="H34" s="4"/>
      <c r="I34" s="4"/>
      <c r="J34" s="4"/>
      <c r="K34" s="4"/>
      <c r="L34" s="4"/>
      <c r="M34" s="4"/>
      <c r="N34" s="4"/>
      <c r="O34" s="4"/>
      <c r="P34" s="4"/>
      <c r="Q34" s="4"/>
      <c r="R34" s="4"/>
      <c r="S34" s="4"/>
      <c r="T34" s="4"/>
      <c r="U34" s="4"/>
      <c r="V34" s="4"/>
      <c r="W34" s="4"/>
      <c r="X34" s="4"/>
      <c r="Y34" s="4"/>
      <c r="Z34" s="4"/>
    </row>
    <row r="35" ht="16.5" customHeight="1">
      <c r="A35" s="23"/>
      <c r="B35" s="17" t="s">
        <v>41</v>
      </c>
      <c r="C35" s="23"/>
      <c r="D35" s="23"/>
      <c r="E35" s="21"/>
      <c r="F35" s="4"/>
      <c r="G35" s="4"/>
      <c r="H35" s="4"/>
      <c r="I35" s="4"/>
      <c r="J35" s="4"/>
      <c r="K35" s="4"/>
      <c r="L35" s="4"/>
      <c r="M35" s="4"/>
      <c r="N35" s="4"/>
      <c r="O35" s="4"/>
      <c r="P35" s="4"/>
      <c r="Q35" s="4"/>
      <c r="R35" s="4"/>
      <c r="S35" s="4"/>
      <c r="T35" s="4"/>
      <c r="U35" s="4"/>
      <c r="V35" s="4"/>
      <c r="W35" s="4"/>
      <c r="X35" s="4"/>
      <c r="Y35" s="4"/>
      <c r="Z35" s="4"/>
    </row>
    <row r="36" ht="16.5" customHeight="1">
      <c r="A36" s="20">
        <v>7.0</v>
      </c>
      <c r="B36" s="17" t="s">
        <v>42</v>
      </c>
      <c r="C36" s="20" t="s">
        <v>42</v>
      </c>
      <c r="D36" s="20">
        <v>23.0</v>
      </c>
      <c r="E36" s="21"/>
      <c r="F36" s="4"/>
      <c r="G36" s="4"/>
      <c r="H36" s="4"/>
      <c r="I36" s="4"/>
      <c r="J36" s="4"/>
      <c r="K36" s="4"/>
      <c r="L36" s="4"/>
      <c r="M36" s="4"/>
      <c r="N36" s="4"/>
      <c r="O36" s="4"/>
      <c r="P36" s="4"/>
      <c r="Q36" s="4"/>
      <c r="R36" s="4"/>
      <c r="S36" s="4"/>
      <c r="T36" s="4"/>
      <c r="U36" s="4"/>
      <c r="V36" s="4"/>
      <c r="W36" s="4"/>
      <c r="X36" s="4"/>
      <c r="Y36" s="4"/>
      <c r="Z36" s="4"/>
    </row>
    <row r="37" ht="16.5" customHeight="1">
      <c r="A37" s="21"/>
      <c r="B37" s="17" t="s">
        <v>43</v>
      </c>
      <c r="C37" s="21"/>
      <c r="D37" s="21"/>
      <c r="E37" s="21"/>
      <c r="F37" s="4"/>
      <c r="G37" s="4"/>
      <c r="H37" s="4"/>
      <c r="I37" s="4"/>
      <c r="J37" s="4"/>
      <c r="K37" s="4"/>
      <c r="L37" s="4"/>
      <c r="M37" s="4"/>
      <c r="N37" s="4"/>
      <c r="O37" s="4"/>
      <c r="P37" s="4"/>
      <c r="Q37" s="4"/>
      <c r="R37" s="4"/>
      <c r="S37" s="4"/>
      <c r="T37" s="4"/>
      <c r="U37" s="4"/>
      <c r="V37" s="4"/>
      <c r="W37" s="4"/>
      <c r="X37" s="4"/>
      <c r="Y37" s="4"/>
      <c r="Z37" s="4"/>
    </row>
    <row r="38" ht="16.5" customHeight="1">
      <c r="A38" s="21"/>
      <c r="B38" s="17" t="s">
        <v>44</v>
      </c>
      <c r="C38" s="21"/>
      <c r="D38" s="21"/>
      <c r="E38" s="21"/>
      <c r="F38" s="4"/>
      <c r="G38" s="4"/>
      <c r="H38" s="4"/>
      <c r="I38" s="4"/>
      <c r="J38" s="4"/>
      <c r="K38" s="4"/>
      <c r="L38" s="4"/>
      <c r="M38" s="4"/>
      <c r="N38" s="4"/>
      <c r="O38" s="4"/>
      <c r="P38" s="4"/>
      <c r="Q38" s="4"/>
      <c r="R38" s="4"/>
      <c r="S38" s="4"/>
      <c r="T38" s="4"/>
      <c r="U38" s="4"/>
      <c r="V38" s="4"/>
      <c r="W38" s="4"/>
      <c r="X38" s="4"/>
      <c r="Y38" s="4"/>
      <c r="Z38" s="4"/>
    </row>
    <row r="39" ht="16.5" customHeight="1">
      <c r="A39" s="21"/>
      <c r="B39" s="17" t="s">
        <v>45</v>
      </c>
      <c r="C39" s="21"/>
      <c r="D39" s="21"/>
      <c r="E39" s="21"/>
      <c r="F39" s="4"/>
      <c r="G39" s="4"/>
      <c r="H39" s="4"/>
      <c r="I39" s="4"/>
      <c r="J39" s="4"/>
      <c r="K39" s="4"/>
      <c r="L39" s="4"/>
      <c r="M39" s="4"/>
      <c r="N39" s="4"/>
      <c r="O39" s="4"/>
      <c r="P39" s="4"/>
      <c r="Q39" s="4"/>
      <c r="R39" s="4"/>
      <c r="S39" s="4"/>
      <c r="T39" s="4"/>
      <c r="U39" s="4"/>
      <c r="V39" s="4"/>
      <c r="W39" s="4"/>
      <c r="X39" s="4"/>
      <c r="Y39" s="4"/>
      <c r="Z39" s="4"/>
    </row>
    <row r="40" ht="16.5" customHeight="1">
      <c r="A40" s="21"/>
      <c r="B40" s="17" t="s">
        <v>46</v>
      </c>
      <c r="C40" s="21"/>
      <c r="D40" s="21"/>
      <c r="E40" s="21"/>
      <c r="F40" s="4"/>
      <c r="G40" s="4"/>
      <c r="H40" s="4"/>
      <c r="I40" s="4"/>
      <c r="J40" s="4"/>
      <c r="K40" s="4"/>
      <c r="L40" s="4"/>
      <c r="M40" s="4"/>
      <c r="N40" s="4"/>
      <c r="O40" s="4"/>
      <c r="P40" s="4"/>
      <c r="Q40" s="4"/>
      <c r="R40" s="4"/>
      <c r="S40" s="4"/>
      <c r="T40" s="4"/>
      <c r="U40" s="4"/>
      <c r="V40" s="4"/>
      <c r="W40" s="4"/>
      <c r="X40" s="4"/>
      <c r="Y40" s="4"/>
      <c r="Z40" s="4"/>
    </row>
    <row r="41" ht="16.5" customHeight="1">
      <c r="A41" s="21"/>
      <c r="B41" s="17" t="s">
        <v>47</v>
      </c>
      <c r="C41" s="21"/>
      <c r="D41" s="21"/>
      <c r="E41" s="21"/>
      <c r="F41" s="4"/>
      <c r="G41" s="4"/>
      <c r="H41" s="4"/>
      <c r="I41" s="4"/>
      <c r="J41" s="4"/>
      <c r="K41" s="4"/>
      <c r="L41" s="4"/>
      <c r="M41" s="4"/>
      <c r="N41" s="4"/>
      <c r="O41" s="4"/>
      <c r="P41" s="4"/>
      <c r="Q41" s="4"/>
      <c r="R41" s="4"/>
      <c r="S41" s="4"/>
      <c r="T41" s="4"/>
      <c r="U41" s="4"/>
      <c r="V41" s="4"/>
      <c r="W41" s="4"/>
      <c r="X41" s="4"/>
      <c r="Y41" s="4"/>
      <c r="Z41" s="4"/>
    </row>
    <row r="42" ht="16.5" customHeight="1">
      <c r="A42" s="21"/>
      <c r="B42" s="17" t="s">
        <v>48</v>
      </c>
      <c r="C42" s="21"/>
      <c r="D42" s="21"/>
      <c r="E42" s="21"/>
      <c r="F42" s="4"/>
      <c r="G42" s="4"/>
      <c r="H42" s="4"/>
      <c r="I42" s="4"/>
      <c r="J42" s="4"/>
      <c r="K42" s="4"/>
      <c r="L42" s="4"/>
      <c r="M42" s="4"/>
      <c r="N42" s="4"/>
      <c r="O42" s="4"/>
      <c r="P42" s="4"/>
      <c r="Q42" s="4"/>
      <c r="R42" s="4"/>
      <c r="S42" s="4"/>
      <c r="T42" s="4"/>
      <c r="U42" s="4"/>
      <c r="V42" s="4"/>
      <c r="W42" s="4"/>
      <c r="X42" s="4"/>
      <c r="Y42" s="4"/>
      <c r="Z42" s="4"/>
    </row>
    <row r="43" ht="16.5" customHeight="1">
      <c r="A43" s="23"/>
      <c r="B43" s="17" t="s">
        <v>49</v>
      </c>
      <c r="C43" s="23"/>
      <c r="D43" s="23"/>
      <c r="E43" s="21"/>
      <c r="F43" s="4"/>
      <c r="G43" s="4"/>
      <c r="H43" s="4"/>
      <c r="I43" s="4"/>
      <c r="J43" s="4"/>
      <c r="K43" s="4"/>
      <c r="L43" s="4"/>
      <c r="M43" s="4"/>
      <c r="N43" s="4"/>
      <c r="O43" s="4"/>
      <c r="P43" s="4"/>
      <c r="Q43" s="4"/>
      <c r="R43" s="4"/>
      <c r="S43" s="4"/>
      <c r="T43" s="4"/>
      <c r="U43" s="4"/>
      <c r="V43" s="4"/>
      <c r="W43" s="4"/>
      <c r="X43" s="4"/>
      <c r="Y43" s="4"/>
      <c r="Z43" s="4"/>
    </row>
    <row r="44" ht="16.5" customHeight="1">
      <c r="A44" s="20">
        <v>8.0</v>
      </c>
      <c r="B44" s="17" t="s">
        <v>50</v>
      </c>
      <c r="C44" s="20" t="s">
        <v>51</v>
      </c>
      <c r="D44" s="20">
        <v>33.0</v>
      </c>
      <c r="E44" s="21"/>
      <c r="F44" s="4"/>
      <c r="G44" s="4"/>
      <c r="H44" s="4"/>
      <c r="I44" s="4"/>
      <c r="J44" s="4"/>
      <c r="K44" s="4"/>
      <c r="L44" s="4"/>
      <c r="M44" s="4"/>
      <c r="N44" s="4"/>
      <c r="O44" s="4"/>
      <c r="P44" s="4"/>
      <c r="Q44" s="4"/>
      <c r="R44" s="4"/>
      <c r="S44" s="4"/>
      <c r="T44" s="4"/>
      <c r="U44" s="4"/>
      <c r="V44" s="4"/>
      <c r="W44" s="4"/>
      <c r="X44" s="4"/>
      <c r="Y44" s="4"/>
      <c r="Z44" s="4"/>
    </row>
    <row r="45" ht="16.5" customHeight="1">
      <c r="A45" s="21"/>
      <c r="B45" s="17" t="s">
        <v>52</v>
      </c>
      <c r="C45" s="21"/>
      <c r="D45" s="21"/>
      <c r="E45" s="21"/>
      <c r="F45" s="4"/>
      <c r="G45" s="4"/>
      <c r="H45" s="4"/>
      <c r="I45" s="4"/>
      <c r="J45" s="4"/>
      <c r="K45" s="4"/>
      <c r="L45" s="4"/>
      <c r="M45" s="4"/>
      <c r="N45" s="4"/>
      <c r="O45" s="4"/>
      <c r="P45" s="4"/>
      <c r="Q45" s="4"/>
      <c r="R45" s="4"/>
      <c r="S45" s="4"/>
      <c r="T45" s="4"/>
      <c r="U45" s="4"/>
      <c r="V45" s="4"/>
      <c r="W45" s="4"/>
      <c r="X45" s="4"/>
      <c r="Y45" s="4"/>
      <c r="Z45" s="4"/>
    </row>
    <row r="46" ht="16.5" customHeight="1">
      <c r="A46" s="21"/>
      <c r="B46" s="17" t="s">
        <v>53</v>
      </c>
      <c r="C46" s="21"/>
      <c r="D46" s="21"/>
      <c r="E46" s="21"/>
      <c r="F46" s="4"/>
      <c r="G46" s="4"/>
      <c r="H46" s="4"/>
      <c r="I46" s="4"/>
      <c r="J46" s="4"/>
      <c r="K46" s="4"/>
      <c r="L46" s="4"/>
      <c r="M46" s="4"/>
      <c r="N46" s="4"/>
      <c r="O46" s="4"/>
      <c r="P46" s="4"/>
      <c r="Q46" s="4"/>
      <c r="R46" s="4"/>
      <c r="S46" s="4"/>
      <c r="T46" s="4"/>
      <c r="U46" s="4"/>
      <c r="V46" s="4"/>
      <c r="W46" s="4"/>
      <c r="X46" s="4"/>
      <c r="Y46" s="4"/>
      <c r="Z46" s="4"/>
    </row>
    <row r="47" ht="16.5" customHeight="1">
      <c r="A47" s="21"/>
      <c r="B47" s="17" t="s">
        <v>54</v>
      </c>
      <c r="C47" s="21"/>
      <c r="D47" s="21"/>
      <c r="E47" s="21"/>
      <c r="F47" s="4"/>
      <c r="G47" s="4"/>
      <c r="H47" s="4"/>
      <c r="I47" s="4"/>
      <c r="J47" s="4"/>
      <c r="K47" s="4"/>
      <c r="L47" s="4"/>
      <c r="M47" s="4"/>
      <c r="N47" s="4"/>
      <c r="O47" s="4"/>
      <c r="P47" s="4"/>
      <c r="Q47" s="4"/>
      <c r="R47" s="4"/>
      <c r="S47" s="4"/>
      <c r="T47" s="4"/>
      <c r="U47" s="4"/>
      <c r="V47" s="4"/>
      <c r="W47" s="4"/>
      <c r="X47" s="4"/>
      <c r="Y47" s="4"/>
      <c r="Z47" s="4"/>
    </row>
    <row r="48" ht="16.5" customHeight="1">
      <c r="A48" s="21"/>
      <c r="B48" s="17" t="s">
        <v>55</v>
      </c>
      <c r="C48" s="21"/>
      <c r="D48" s="21"/>
      <c r="E48" s="21"/>
      <c r="F48" s="4"/>
      <c r="G48" s="4"/>
      <c r="H48" s="4"/>
      <c r="I48" s="4"/>
      <c r="J48" s="4"/>
      <c r="K48" s="4"/>
      <c r="L48" s="4"/>
      <c r="M48" s="4"/>
      <c r="N48" s="4"/>
      <c r="O48" s="4"/>
      <c r="P48" s="4"/>
      <c r="Q48" s="4"/>
      <c r="R48" s="4"/>
      <c r="S48" s="4"/>
      <c r="T48" s="4"/>
      <c r="U48" s="4"/>
      <c r="V48" s="4"/>
      <c r="W48" s="4"/>
      <c r="X48" s="4"/>
      <c r="Y48" s="4"/>
      <c r="Z48" s="4"/>
    </row>
    <row r="49" ht="16.5" customHeight="1">
      <c r="A49" s="21"/>
      <c r="B49" s="17" t="s">
        <v>56</v>
      </c>
      <c r="C49" s="21"/>
      <c r="D49" s="21"/>
      <c r="E49" s="21"/>
      <c r="F49" s="4"/>
      <c r="G49" s="4"/>
      <c r="H49" s="4"/>
      <c r="I49" s="4"/>
      <c r="J49" s="4"/>
      <c r="K49" s="4"/>
      <c r="L49" s="4"/>
      <c r="M49" s="4"/>
      <c r="N49" s="4"/>
      <c r="O49" s="4"/>
      <c r="P49" s="4"/>
      <c r="Q49" s="4"/>
      <c r="R49" s="4"/>
      <c r="S49" s="4"/>
      <c r="T49" s="4"/>
      <c r="U49" s="4"/>
      <c r="V49" s="4"/>
      <c r="W49" s="4"/>
      <c r="X49" s="4"/>
      <c r="Y49" s="4"/>
      <c r="Z49" s="4"/>
    </row>
    <row r="50" ht="16.5" customHeight="1">
      <c r="A50" s="23"/>
      <c r="B50" s="17" t="s">
        <v>57</v>
      </c>
      <c r="C50" s="23"/>
      <c r="D50" s="23"/>
      <c r="E50" s="21"/>
      <c r="F50" s="4"/>
      <c r="G50" s="4"/>
      <c r="H50" s="4"/>
      <c r="I50" s="4"/>
      <c r="J50" s="4"/>
      <c r="K50" s="4"/>
      <c r="L50" s="4"/>
      <c r="M50" s="4"/>
      <c r="N50" s="4"/>
      <c r="O50" s="4"/>
      <c r="P50" s="4"/>
      <c r="Q50" s="4"/>
      <c r="R50" s="4"/>
      <c r="S50" s="4"/>
      <c r="T50" s="4"/>
      <c r="U50" s="4"/>
      <c r="V50" s="4"/>
      <c r="W50" s="4"/>
      <c r="X50" s="4"/>
      <c r="Y50" s="4"/>
      <c r="Z50" s="4"/>
    </row>
    <row r="51" ht="16.5" customHeight="1">
      <c r="A51" s="20">
        <v>9.0</v>
      </c>
      <c r="B51" s="17" t="s">
        <v>58</v>
      </c>
      <c r="C51" s="20" t="s">
        <v>59</v>
      </c>
      <c r="D51" s="20">
        <v>18.0</v>
      </c>
      <c r="E51" s="21"/>
      <c r="F51" s="4"/>
      <c r="G51" s="4"/>
      <c r="H51" s="4"/>
      <c r="I51" s="4"/>
      <c r="J51" s="4"/>
      <c r="K51" s="4"/>
      <c r="L51" s="4"/>
      <c r="M51" s="4"/>
      <c r="N51" s="4"/>
      <c r="O51" s="4"/>
      <c r="P51" s="4"/>
      <c r="Q51" s="4"/>
      <c r="R51" s="4"/>
      <c r="S51" s="4"/>
      <c r="T51" s="4"/>
      <c r="U51" s="4"/>
      <c r="V51" s="4"/>
      <c r="W51" s="4"/>
      <c r="X51" s="4"/>
      <c r="Y51" s="4"/>
      <c r="Z51" s="4"/>
    </row>
    <row r="52" ht="16.5" customHeight="1">
      <c r="A52" s="21"/>
      <c r="B52" s="17" t="s">
        <v>60</v>
      </c>
      <c r="C52" s="21"/>
      <c r="D52" s="21"/>
      <c r="E52" s="21"/>
      <c r="F52" s="4"/>
      <c r="G52" s="4"/>
      <c r="H52" s="4"/>
      <c r="I52" s="4"/>
      <c r="J52" s="4"/>
      <c r="K52" s="4"/>
      <c r="L52" s="4"/>
      <c r="M52" s="4"/>
      <c r="N52" s="4"/>
      <c r="O52" s="4"/>
      <c r="P52" s="4"/>
      <c r="Q52" s="4"/>
      <c r="R52" s="4"/>
      <c r="S52" s="4"/>
      <c r="T52" s="4"/>
      <c r="U52" s="4"/>
      <c r="V52" s="4"/>
      <c r="W52" s="4"/>
      <c r="X52" s="4"/>
      <c r="Y52" s="4"/>
      <c r="Z52" s="4"/>
    </row>
    <row r="53" ht="16.5" customHeight="1">
      <c r="A53" s="21"/>
      <c r="B53" s="17" t="s">
        <v>61</v>
      </c>
      <c r="C53" s="21"/>
      <c r="D53" s="21"/>
      <c r="E53" s="21"/>
      <c r="F53" s="4"/>
      <c r="G53" s="4"/>
      <c r="H53" s="4"/>
      <c r="I53" s="4"/>
      <c r="J53" s="4"/>
      <c r="K53" s="4"/>
      <c r="L53" s="4"/>
      <c r="M53" s="4"/>
      <c r="N53" s="4"/>
      <c r="O53" s="4"/>
      <c r="P53" s="4"/>
      <c r="Q53" s="4"/>
      <c r="R53" s="4"/>
      <c r="S53" s="4"/>
      <c r="T53" s="4"/>
      <c r="U53" s="4"/>
      <c r="V53" s="4"/>
      <c r="W53" s="4"/>
      <c r="X53" s="4"/>
      <c r="Y53" s="4"/>
      <c r="Z53" s="4"/>
    </row>
    <row r="54" ht="16.5" customHeight="1">
      <c r="A54" s="21"/>
      <c r="B54" s="17" t="s">
        <v>62</v>
      </c>
      <c r="C54" s="21"/>
      <c r="D54" s="21"/>
      <c r="E54" s="21"/>
      <c r="F54" s="4"/>
      <c r="G54" s="4"/>
      <c r="H54" s="4"/>
      <c r="I54" s="4"/>
      <c r="J54" s="4"/>
      <c r="K54" s="4"/>
      <c r="L54" s="4"/>
      <c r="M54" s="4"/>
      <c r="N54" s="4"/>
      <c r="O54" s="4"/>
      <c r="P54" s="4"/>
      <c r="Q54" s="4"/>
      <c r="R54" s="4"/>
      <c r="S54" s="4"/>
      <c r="T54" s="4"/>
      <c r="U54" s="4"/>
      <c r="V54" s="4"/>
      <c r="W54" s="4"/>
      <c r="X54" s="4"/>
      <c r="Y54" s="4"/>
      <c r="Z54" s="4"/>
    </row>
    <row r="55" ht="16.5" customHeight="1">
      <c r="A55" s="23"/>
      <c r="B55" s="17" t="s">
        <v>63</v>
      </c>
      <c r="C55" s="23"/>
      <c r="D55" s="23"/>
      <c r="E55" s="23"/>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f>SUM(D5:D55)</f>
        <v>217</v>
      </c>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4">
    <mergeCell ref="A11:A15"/>
    <mergeCell ref="A44:A50"/>
    <mergeCell ref="A1:D2"/>
    <mergeCell ref="B3:D3"/>
    <mergeCell ref="E5:E55"/>
    <mergeCell ref="A6:A9"/>
    <mergeCell ref="D6:D9"/>
    <mergeCell ref="D16:D24"/>
    <mergeCell ref="D36:D43"/>
    <mergeCell ref="D51:D55"/>
    <mergeCell ref="C11:C15"/>
    <mergeCell ref="D11:D15"/>
    <mergeCell ref="C6:C9"/>
    <mergeCell ref="C16:C24"/>
    <mergeCell ref="A16:A24"/>
    <mergeCell ref="A25:A35"/>
    <mergeCell ref="C25:C35"/>
    <mergeCell ref="D25:D35"/>
    <mergeCell ref="A36:A43"/>
    <mergeCell ref="C36:C43"/>
    <mergeCell ref="C44:C50"/>
    <mergeCell ref="D44:D50"/>
    <mergeCell ref="A51:A55"/>
    <mergeCell ref="C51:C5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33.29"/>
    <col customWidth="1" min="3" max="3" width="11.71"/>
    <col customWidth="1" min="4" max="10" width="9.14"/>
    <col customWidth="1" min="11" max="11" width="13.57"/>
    <col customWidth="1" min="12" max="12" width="14.29"/>
    <col customWidth="1" min="13" max="26" width="9.14"/>
  </cols>
  <sheetData>
    <row r="1">
      <c r="A1" s="25" t="s">
        <v>64</v>
      </c>
      <c r="Q1" s="26"/>
      <c r="R1" s="26"/>
      <c r="S1" s="26"/>
      <c r="T1" s="26"/>
      <c r="U1" s="26"/>
      <c r="V1" s="26"/>
      <c r="W1" s="26"/>
      <c r="X1" s="26"/>
      <c r="Y1" s="26"/>
      <c r="Z1" s="26"/>
    </row>
    <row r="2">
      <c r="A2" s="27"/>
      <c r="B2" s="28"/>
      <c r="C2" s="28"/>
      <c r="D2" s="28"/>
      <c r="E2" s="28"/>
      <c r="F2" s="28"/>
      <c r="G2" s="28"/>
      <c r="H2" s="28"/>
      <c r="I2" s="28"/>
      <c r="J2" s="28"/>
      <c r="K2" s="28"/>
      <c r="L2" s="28"/>
      <c r="M2" s="29"/>
      <c r="N2" s="29"/>
      <c r="O2" s="29"/>
      <c r="P2" s="29"/>
      <c r="Q2" s="26"/>
      <c r="R2" s="26"/>
      <c r="S2" s="26"/>
      <c r="T2" s="26"/>
      <c r="U2" s="26"/>
      <c r="V2" s="26"/>
      <c r="W2" s="26"/>
      <c r="X2" s="26"/>
      <c r="Y2" s="26"/>
      <c r="Z2" s="26"/>
    </row>
    <row r="3">
      <c r="A3" s="30" t="s">
        <v>1</v>
      </c>
      <c r="B3" s="31" t="s">
        <v>65</v>
      </c>
      <c r="C3" s="11"/>
      <c r="D3" s="32"/>
      <c r="E3" s="33" t="s">
        <v>66</v>
      </c>
      <c r="F3" s="10"/>
      <c r="G3" s="11"/>
      <c r="H3" s="34" t="s">
        <v>67</v>
      </c>
      <c r="I3" s="10"/>
      <c r="J3" s="10"/>
      <c r="K3" s="11"/>
      <c r="L3" s="35"/>
      <c r="M3" s="35"/>
      <c r="N3" s="35"/>
      <c r="O3" s="35"/>
      <c r="P3" s="35"/>
      <c r="Q3" s="26"/>
      <c r="R3" s="26"/>
      <c r="S3" s="26"/>
      <c r="T3" s="26"/>
      <c r="U3" s="26"/>
      <c r="V3" s="26"/>
      <c r="W3" s="26"/>
      <c r="X3" s="26"/>
      <c r="Y3" s="26"/>
      <c r="Z3" s="26"/>
    </row>
    <row r="4">
      <c r="A4" s="30"/>
      <c r="B4" s="36"/>
      <c r="C4" s="11"/>
      <c r="D4" s="37"/>
      <c r="E4" s="33" t="s">
        <v>68</v>
      </c>
      <c r="F4" s="10"/>
      <c r="G4" s="11"/>
      <c r="H4" s="31" t="s">
        <v>69</v>
      </c>
      <c r="I4" s="10"/>
      <c r="J4" s="10"/>
      <c r="K4" s="11"/>
      <c r="L4" s="37"/>
      <c r="M4" s="35"/>
      <c r="N4" s="35"/>
      <c r="O4" s="35"/>
      <c r="P4" s="35"/>
      <c r="Q4" s="26"/>
      <c r="R4" s="26"/>
      <c r="S4" s="26"/>
      <c r="T4" s="26"/>
      <c r="U4" s="26"/>
      <c r="V4" s="26"/>
      <c r="W4" s="26"/>
      <c r="X4" s="26"/>
      <c r="Y4" s="26"/>
      <c r="Z4" s="26"/>
    </row>
    <row r="5">
      <c r="A5" s="30"/>
      <c r="B5" s="36"/>
      <c r="C5" s="11"/>
      <c r="D5" s="37"/>
      <c r="E5" s="33" t="s">
        <v>70</v>
      </c>
      <c r="F5" s="10"/>
      <c r="G5" s="11"/>
      <c r="H5" s="38">
        <v>44114.0</v>
      </c>
      <c r="I5" s="10"/>
      <c r="J5" s="10"/>
      <c r="K5" s="11"/>
      <c r="L5" s="37"/>
      <c r="M5" s="35"/>
      <c r="N5" s="35"/>
      <c r="O5" s="35"/>
      <c r="P5" s="35"/>
      <c r="Q5" s="26"/>
      <c r="R5" s="26"/>
      <c r="S5" s="26"/>
      <c r="T5" s="26"/>
      <c r="U5" s="26"/>
      <c r="V5" s="26"/>
      <c r="W5" s="26"/>
      <c r="X5" s="26"/>
      <c r="Y5" s="26"/>
      <c r="Z5" s="26"/>
    </row>
    <row r="6" ht="20.25" customHeight="1">
      <c r="A6" s="39" t="s">
        <v>71</v>
      </c>
      <c r="B6" s="40" t="s">
        <v>72</v>
      </c>
      <c r="C6" s="41"/>
      <c r="D6" s="41"/>
      <c r="E6" s="41"/>
      <c r="F6" s="41"/>
      <c r="G6" s="41"/>
      <c r="H6" s="41"/>
      <c r="I6" s="41"/>
      <c r="J6" s="41"/>
      <c r="K6" s="42"/>
      <c r="L6" s="43"/>
      <c r="M6" s="44"/>
      <c r="N6" s="44"/>
      <c r="O6" s="44"/>
      <c r="P6" s="44"/>
      <c r="Q6" s="26"/>
      <c r="R6" s="26"/>
      <c r="S6" s="26"/>
      <c r="T6" s="26"/>
      <c r="U6" s="26"/>
      <c r="V6" s="26"/>
      <c r="W6" s="26"/>
      <c r="X6" s="26"/>
      <c r="Y6" s="26"/>
      <c r="Z6" s="26"/>
    </row>
    <row r="7" ht="20.25" customHeight="1">
      <c r="A7" s="45"/>
      <c r="B7" s="46"/>
      <c r="C7" s="47" t="s">
        <v>73</v>
      </c>
      <c r="D7" s="48"/>
      <c r="E7" s="47" t="s">
        <v>74</v>
      </c>
      <c r="F7" s="48"/>
      <c r="G7" s="47" t="s">
        <v>75</v>
      </c>
      <c r="H7" s="48"/>
      <c r="I7" s="47" t="s">
        <v>76</v>
      </c>
      <c r="J7" s="48"/>
      <c r="K7" s="47" t="s">
        <v>77</v>
      </c>
      <c r="L7" s="48"/>
      <c r="M7" s="49" t="s">
        <v>78</v>
      </c>
      <c r="N7" s="48"/>
      <c r="O7" s="50" t="s">
        <v>79</v>
      </c>
      <c r="P7" s="48"/>
      <c r="Q7" s="26"/>
      <c r="R7" s="26"/>
      <c r="S7" s="26"/>
      <c r="T7" s="26"/>
      <c r="U7" s="26"/>
      <c r="V7" s="26"/>
      <c r="W7" s="26"/>
      <c r="X7" s="26"/>
      <c r="Y7" s="26"/>
      <c r="Z7" s="26"/>
    </row>
    <row r="8">
      <c r="A8" s="51"/>
      <c r="B8" s="52"/>
      <c r="C8" s="53"/>
      <c r="D8" s="54"/>
      <c r="E8" s="53"/>
      <c r="F8" s="54"/>
      <c r="G8" s="53"/>
      <c r="H8" s="54"/>
      <c r="I8" s="53"/>
      <c r="J8" s="54"/>
      <c r="K8" s="53"/>
      <c r="L8" s="54"/>
      <c r="M8" s="53"/>
      <c r="N8" s="54"/>
      <c r="O8" s="53"/>
      <c r="P8" s="54"/>
      <c r="Q8" s="26"/>
      <c r="R8" s="26"/>
      <c r="S8" s="26"/>
      <c r="T8" s="26"/>
      <c r="U8" s="26"/>
      <c r="V8" s="26"/>
      <c r="W8" s="26"/>
      <c r="X8" s="26"/>
      <c r="Y8" s="26"/>
      <c r="Z8" s="26"/>
    </row>
    <row r="9" ht="22.5" customHeight="1">
      <c r="A9" s="55" t="s">
        <v>3</v>
      </c>
      <c r="B9" s="55" t="s">
        <v>80</v>
      </c>
      <c r="C9" s="56" t="s">
        <v>81</v>
      </c>
      <c r="D9" s="56" t="s">
        <v>82</v>
      </c>
      <c r="E9" s="56" t="s">
        <v>81</v>
      </c>
      <c r="F9" s="56" t="s">
        <v>82</v>
      </c>
      <c r="G9" s="56" t="s">
        <v>81</v>
      </c>
      <c r="H9" s="56" t="s">
        <v>82</v>
      </c>
      <c r="I9" s="55" t="s">
        <v>81</v>
      </c>
      <c r="J9" s="56" t="s">
        <v>82</v>
      </c>
      <c r="K9" s="56" t="s">
        <v>81</v>
      </c>
      <c r="L9" s="56" t="s">
        <v>82</v>
      </c>
      <c r="M9" s="56" t="s">
        <v>81</v>
      </c>
      <c r="N9" s="56" t="s">
        <v>82</v>
      </c>
      <c r="O9" s="56" t="s">
        <v>81</v>
      </c>
      <c r="P9" s="56" t="s">
        <v>82</v>
      </c>
      <c r="Q9" s="57"/>
      <c r="R9" s="57"/>
      <c r="S9" s="57"/>
      <c r="T9" s="57"/>
      <c r="U9" s="57"/>
      <c r="V9" s="57"/>
      <c r="W9" s="57"/>
      <c r="X9" s="57"/>
      <c r="Y9" s="57"/>
      <c r="Z9" s="57"/>
    </row>
    <row r="10" ht="31.5" customHeight="1">
      <c r="A10" s="58">
        <v>1.0</v>
      </c>
      <c r="B10" s="59" t="s">
        <v>9</v>
      </c>
      <c r="C10" s="60">
        <v>15.0</v>
      </c>
      <c r="D10" s="60">
        <v>15.0</v>
      </c>
      <c r="E10" s="60">
        <v>0.0</v>
      </c>
      <c r="F10" s="60" t="str">
        <f>'[1]Show Bus Routes List'!C6</f>
        <v>#REF!</v>
      </c>
      <c r="G10" s="60" t="str">
        <f>'[1]Show Bus Routes List'!D5</f>
        <v>#REF!</v>
      </c>
      <c r="H10" s="60" t="str">
        <f>'[1]Show Bus Routes List'!D6</f>
        <v>#REF!</v>
      </c>
      <c r="I10" s="60" t="str">
        <f>'[1]Show Bus Routes List'!E5</f>
        <v>#REF!</v>
      </c>
      <c r="J10" s="60" t="str">
        <f>'[1]Show Bus Routes List'!E6</f>
        <v>#REF!</v>
      </c>
      <c r="K10" s="60">
        <v>15.0</v>
      </c>
      <c r="L10" s="60">
        <v>15.0</v>
      </c>
      <c r="M10" s="61">
        <f t="shared" ref="M10:N10" si="1">ROUND(C10*100/K10,1)</f>
        <v>100</v>
      </c>
      <c r="N10" s="61">
        <f t="shared" si="1"/>
        <v>100</v>
      </c>
      <c r="O10" s="61">
        <f t="shared" ref="O10:P10" si="2">ROUND((C10+E10)*100/K10,1)</f>
        <v>100</v>
      </c>
      <c r="P10" s="62" t="str">
        <f t="shared" si="2"/>
        <v>#REF!</v>
      </c>
      <c r="Q10" s="26"/>
      <c r="R10" s="26"/>
      <c r="S10" s="26"/>
      <c r="T10" s="26"/>
      <c r="U10" s="26"/>
      <c r="V10" s="26"/>
      <c r="W10" s="26"/>
      <c r="X10" s="26"/>
      <c r="Y10" s="26"/>
      <c r="Z10" s="26"/>
    </row>
    <row r="11" ht="31.5" customHeight="1">
      <c r="A11" s="58">
        <v>2.0</v>
      </c>
      <c r="B11" s="59" t="s">
        <v>83</v>
      </c>
      <c r="C11" s="60"/>
      <c r="D11" s="60"/>
      <c r="E11" s="60"/>
      <c r="F11" s="60"/>
      <c r="G11" s="60"/>
      <c r="H11" s="60"/>
      <c r="I11" s="60"/>
      <c r="J11" s="60"/>
      <c r="K11" s="60"/>
      <c r="L11" s="60"/>
      <c r="M11" s="61"/>
      <c r="N11" s="61"/>
      <c r="O11" s="61"/>
      <c r="P11" s="62"/>
      <c r="Q11" s="26"/>
      <c r="R11" s="26"/>
      <c r="S11" s="26"/>
      <c r="T11" s="26"/>
      <c r="U11" s="26"/>
      <c r="V11" s="26"/>
      <c r="W11" s="26"/>
      <c r="X11" s="26"/>
      <c r="Y11" s="26"/>
      <c r="Z11" s="26"/>
    </row>
    <row r="12" ht="45.0" customHeight="1">
      <c r="A12" s="58">
        <v>3.0</v>
      </c>
      <c r="B12" s="59" t="s">
        <v>84</v>
      </c>
      <c r="C12" s="60">
        <v>12.0</v>
      </c>
      <c r="D12" s="60">
        <v>12.0</v>
      </c>
      <c r="E12" s="60">
        <v>0.0</v>
      </c>
      <c r="F12" s="60" t="str">
        <f>'[1]Show Bus Stops List'!C6</f>
        <v>#REF!</v>
      </c>
      <c r="G12" s="60" t="str">
        <f>'[1]Show Bus Stops List'!D5</f>
        <v>#REF!</v>
      </c>
      <c r="H12" s="60" t="str">
        <f>'[1]Show Bus Stops List'!D6</f>
        <v>#REF!</v>
      </c>
      <c r="I12" s="60" t="str">
        <f>'[1]Show Bus Stops List'!E5</f>
        <v>#REF!</v>
      </c>
      <c r="J12" s="60" t="str">
        <f>'[1]Show Bus Stops List'!E6</f>
        <v>#REF!</v>
      </c>
      <c r="K12" s="60">
        <v>12.0</v>
      </c>
      <c r="L12" s="60">
        <v>12.0</v>
      </c>
      <c r="M12" s="61">
        <f t="shared" ref="M12:N12" si="3">ROUND(C12*100/K12,1)</f>
        <v>100</v>
      </c>
      <c r="N12" s="61">
        <f t="shared" si="3"/>
        <v>100</v>
      </c>
      <c r="O12" s="61">
        <f t="shared" ref="O12:P12" si="4">ROUND((C12+E12)*100/K12,1)</f>
        <v>100</v>
      </c>
      <c r="P12" s="62" t="str">
        <f t="shared" si="4"/>
        <v>#REF!</v>
      </c>
      <c r="Q12" s="26"/>
      <c r="R12" s="26"/>
      <c r="S12" s="26"/>
      <c r="T12" s="26"/>
      <c r="U12" s="26"/>
      <c r="V12" s="26"/>
      <c r="W12" s="26"/>
      <c r="X12" s="26"/>
      <c r="Y12" s="26"/>
      <c r="Z12" s="26"/>
    </row>
    <row r="13" ht="45.0" customHeight="1">
      <c r="A13" s="63">
        <v>4.0</v>
      </c>
      <c r="B13" s="64" t="s">
        <v>85</v>
      </c>
      <c r="C13" s="60"/>
      <c r="D13" s="60"/>
      <c r="E13" s="60"/>
      <c r="F13" s="60"/>
      <c r="G13" s="60"/>
      <c r="H13" s="60"/>
      <c r="I13" s="60"/>
      <c r="J13" s="60"/>
      <c r="K13" s="60"/>
      <c r="L13" s="60"/>
      <c r="M13" s="61"/>
      <c r="N13" s="61"/>
      <c r="O13" s="61"/>
      <c r="P13" s="62"/>
      <c r="Q13" s="26"/>
      <c r="R13" s="26"/>
      <c r="S13" s="26"/>
      <c r="T13" s="26"/>
      <c r="U13" s="26"/>
      <c r="V13" s="26"/>
      <c r="W13" s="26"/>
      <c r="X13" s="26"/>
      <c r="Y13" s="26"/>
      <c r="Z13" s="26"/>
    </row>
    <row r="14" ht="33.75" customHeight="1">
      <c r="A14" s="63">
        <v>5.0</v>
      </c>
      <c r="B14" s="64" t="s">
        <v>86</v>
      </c>
      <c r="C14" s="60">
        <v>8.0</v>
      </c>
      <c r="D14" s="60">
        <v>8.0</v>
      </c>
      <c r="E14" s="60" t="str">
        <f t="shared" ref="E14:J14" si="5">#REF!</f>
        <v>#REF!</v>
      </c>
      <c r="F14" s="60" t="str">
        <f t="shared" si="5"/>
        <v>#REF!</v>
      </c>
      <c r="G14" s="60" t="str">
        <f t="shared" si="5"/>
        <v>#REF!</v>
      </c>
      <c r="H14" s="60" t="str">
        <f t="shared" si="5"/>
        <v>#REF!</v>
      </c>
      <c r="I14" s="60" t="str">
        <f t="shared" si="5"/>
        <v>#REF!</v>
      </c>
      <c r="J14" s="60" t="str">
        <f t="shared" si="5"/>
        <v>#REF!</v>
      </c>
      <c r="K14" s="60">
        <v>4.0</v>
      </c>
      <c r="L14" s="60">
        <v>4.0</v>
      </c>
      <c r="M14" s="61">
        <f t="shared" ref="M14:N14" si="6">ROUND(C14*100/K14,1)</f>
        <v>200</v>
      </c>
      <c r="N14" s="61">
        <f t="shared" si="6"/>
        <v>200</v>
      </c>
      <c r="O14" s="61" t="str">
        <f t="shared" ref="O14:P14" si="7">ROUND((C14+E14)*100/K14,1)</f>
        <v>#REF!</v>
      </c>
      <c r="P14" s="62" t="str">
        <f t="shared" si="7"/>
        <v>#REF!</v>
      </c>
      <c r="Q14" s="26"/>
      <c r="R14" s="26"/>
      <c r="S14" s="26"/>
      <c r="T14" s="26"/>
      <c r="U14" s="26"/>
      <c r="V14" s="26"/>
      <c r="W14" s="26"/>
      <c r="X14" s="26"/>
      <c r="Y14" s="26"/>
      <c r="Z14" s="26"/>
    </row>
    <row r="15" ht="33.75" customHeight="1">
      <c r="A15" s="63">
        <v>6.0</v>
      </c>
      <c r="B15" s="64" t="s">
        <v>87</v>
      </c>
      <c r="C15" s="60"/>
      <c r="D15" s="60"/>
      <c r="E15" s="60"/>
      <c r="F15" s="60"/>
      <c r="G15" s="60"/>
      <c r="H15" s="60"/>
      <c r="I15" s="60"/>
      <c r="J15" s="60"/>
      <c r="K15" s="60"/>
      <c r="L15" s="60"/>
      <c r="M15" s="61"/>
      <c r="N15" s="61"/>
      <c r="O15" s="61"/>
      <c r="P15" s="62"/>
      <c r="Q15" s="26"/>
      <c r="R15" s="26"/>
      <c r="S15" s="26"/>
      <c r="T15" s="26"/>
      <c r="U15" s="26"/>
      <c r="V15" s="26"/>
      <c r="W15" s="26"/>
      <c r="X15" s="26"/>
      <c r="Y15" s="26"/>
      <c r="Z15" s="26"/>
    </row>
    <row r="16" ht="42.0" customHeight="1">
      <c r="A16" s="63">
        <v>7.0</v>
      </c>
      <c r="B16" s="64" t="s">
        <v>88</v>
      </c>
      <c r="C16" s="60">
        <v>15.0</v>
      </c>
      <c r="D16" s="60">
        <v>15.0</v>
      </c>
      <c r="E16" s="60">
        <v>0.0</v>
      </c>
      <c r="F16" s="60">
        <v>0.0</v>
      </c>
      <c r="G16" s="60">
        <v>0.0</v>
      </c>
      <c r="H16" s="60">
        <v>0.0</v>
      </c>
      <c r="I16" s="60">
        <v>0.0</v>
      </c>
      <c r="J16" s="60">
        <v>0.0</v>
      </c>
      <c r="K16" s="60">
        <v>15.0</v>
      </c>
      <c r="L16" s="60">
        <v>15.0</v>
      </c>
      <c r="M16" s="61">
        <f t="shared" ref="M16:M20" si="9">ROUND(C16*100/K16,1)</f>
        <v>100</v>
      </c>
      <c r="N16" s="61">
        <v>100.0</v>
      </c>
      <c r="O16" s="61">
        <v>100.0</v>
      </c>
      <c r="P16" s="62">
        <v>100.0</v>
      </c>
      <c r="Q16" s="26"/>
      <c r="R16" s="26"/>
      <c r="S16" s="26"/>
      <c r="T16" s="26"/>
      <c r="U16" s="26"/>
      <c r="V16" s="26"/>
      <c r="W16" s="26"/>
      <c r="X16" s="26"/>
      <c r="Y16" s="26"/>
      <c r="Z16" s="26"/>
    </row>
    <row r="17" ht="33.75" customHeight="1">
      <c r="A17" s="63">
        <v>8.0</v>
      </c>
      <c r="B17" s="64" t="s">
        <v>89</v>
      </c>
      <c r="C17" s="60">
        <v>20.0</v>
      </c>
      <c r="D17" s="60">
        <v>20.0</v>
      </c>
      <c r="E17" s="60" t="str">
        <f t="shared" ref="E17:J17" si="8">#REF!</f>
        <v>#REF!</v>
      </c>
      <c r="F17" s="60" t="str">
        <f t="shared" si="8"/>
        <v>#REF!</v>
      </c>
      <c r="G17" s="60" t="str">
        <f t="shared" si="8"/>
        <v>#REF!</v>
      </c>
      <c r="H17" s="60" t="str">
        <f t="shared" si="8"/>
        <v>#REF!</v>
      </c>
      <c r="I17" s="60" t="str">
        <f t="shared" si="8"/>
        <v>#REF!</v>
      </c>
      <c r="J17" s="60" t="str">
        <f t="shared" si="8"/>
        <v>#REF!</v>
      </c>
      <c r="K17" s="60">
        <v>20.0</v>
      </c>
      <c r="L17" s="60">
        <v>20.0</v>
      </c>
      <c r="M17" s="61">
        <f t="shared" si="9"/>
        <v>100</v>
      </c>
      <c r="N17" s="61">
        <f t="shared" ref="N17:N20" si="12">ROUND(D17*100/L17,1)</f>
        <v>100</v>
      </c>
      <c r="O17" s="61" t="str">
        <f t="shared" ref="O17:P17" si="10">ROUND((C17+E17)*100/K17,1)</f>
        <v>#REF!</v>
      </c>
      <c r="P17" s="62" t="str">
        <f t="shared" si="10"/>
        <v>#REF!</v>
      </c>
      <c r="Q17" s="26"/>
      <c r="R17" s="26"/>
      <c r="S17" s="26"/>
      <c r="T17" s="26"/>
      <c r="U17" s="26"/>
      <c r="V17" s="26"/>
      <c r="W17" s="26"/>
      <c r="X17" s="26"/>
      <c r="Y17" s="26"/>
      <c r="Z17" s="26"/>
    </row>
    <row r="18">
      <c r="A18" s="63">
        <v>9.0</v>
      </c>
      <c r="B18" s="64" t="s">
        <v>90</v>
      </c>
      <c r="C18" s="60">
        <v>27.0</v>
      </c>
      <c r="D18" s="60">
        <v>27.0</v>
      </c>
      <c r="E18" s="60" t="str">
        <f>#REF!</f>
        <v>#REF!</v>
      </c>
      <c r="F18" s="60">
        <v>0.0</v>
      </c>
      <c r="G18" s="60" t="str">
        <f t="shared" ref="G18:I18" si="11">#REF!</f>
        <v>#REF!</v>
      </c>
      <c r="H18" s="60" t="str">
        <f t="shared" si="11"/>
        <v>#REF!</v>
      </c>
      <c r="I18" s="60" t="str">
        <f t="shared" si="11"/>
        <v>#REF!</v>
      </c>
      <c r="J18" s="60">
        <v>0.0</v>
      </c>
      <c r="K18" s="60">
        <v>27.0</v>
      </c>
      <c r="L18" s="60">
        <v>27.0</v>
      </c>
      <c r="M18" s="61">
        <f t="shared" si="9"/>
        <v>100</v>
      </c>
      <c r="N18" s="61">
        <f t="shared" si="12"/>
        <v>100</v>
      </c>
      <c r="O18" s="61" t="str">
        <f t="shared" ref="O18:P18" si="13">ROUND((C18+E18)*100/K18,1)</f>
        <v>#REF!</v>
      </c>
      <c r="P18" s="62">
        <f t="shared" si="13"/>
        <v>100</v>
      </c>
      <c r="Q18" s="26"/>
      <c r="R18" s="26"/>
      <c r="S18" s="26"/>
      <c r="T18" s="26"/>
      <c r="U18" s="26"/>
      <c r="V18" s="26"/>
      <c r="W18" s="26"/>
      <c r="X18" s="26"/>
      <c r="Y18" s="26"/>
      <c r="Z18" s="26"/>
    </row>
    <row r="19">
      <c r="A19" s="65">
        <v>10.0</v>
      </c>
      <c r="B19" s="66" t="s">
        <v>91</v>
      </c>
      <c r="C19" s="60">
        <v>17.0</v>
      </c>
      <c r="D19" s="60">
        <v>17.0</v>
      </c>
      <c r="E19" s="60">
        <v>0.0</v>
      </c>
      <c r="F19" s="60" t="str">
        <f>#REF!</f>
        <v>#REF!</v>
      </c>
      <c r="G19" s="60">
        <v>0.0</v>
      </c>
      <c r="H19" s="60">
        <v>0.0</v>
      </c>
      <c r="I19" s="60">
        <v>0.0</v>
      </c>
      <c r="J19" s="60" t="str">
        <f>#REF!</f>
        <v>#REF!</v>
      </c>
      <c r="K19" s="60">
        <v>17.0</v>
      </c>
      <c r="L19" s="60">
        <v>17.0</v>
      </c>
      <c r="M19" s="61">
        <f t="shared" si="9"/>
        <v>100</v>
      </c>
      <c r="N19" s="61">
        <f t="shared" si="12"/>
        <v>100</v>
      </c>
      <c r="O19" s="61">
        <f t="shared" ref="O19:P19" si="14">ROUND((C19+E19)*100/K19,1)</f>
        <v>100</v>
      </c>
      <c r="P19" s="62" t="str">
        <f t="shared" si="14"/>
        <v>#REF!</v>
      </c>
      <c r="Q19" s="67"/>
      <c r="R19" s="67"/>
      <c r="S19" s="67"/>
      <c r="T19" s="67"/>
      <c r="U19" s="67"/>
      <c r="V19" s="67"/>
      <c r="W19" s="67"/>
      <c r="X19" s="67"/>
      <c r="Y19" s="67"/>
      <c r="Z19" s="67"/>
    </row>
    <row r="20">
      <c r="A20" s="65">
        <v>11.0</v>
      </c>
      <c r="B20" s="66" t="s">
        <v>92</v>
      </c>
      <c r="C20" s="60">
        <v>18.0</v>
      </c>
      <c r="D20" s="60">
        <v>18.0</v>
      </c>
      <c r="E20" s="60" t="str">
        <f>#REF!</f>
        <v>#REF!</v>
      </c>
      <c r="F20" s="60">
        <v>0.0</v>
      </c>
      <c r="G20" s="60" t="str">
        <f t="shared" ref="G20:I20" si="15">#REF!</f>
        <v>#REF!</v>
      </c>
      <c r="H20" s="60" t="str">
        <f t="shared" si="15"/>
        <v>#REF!</v>
      </c>
      <c r="I20" s="60" t="str">
        <f t="shared" si="15"/>
        <v>#REF!</v>
      </c>
      <c r="J20" s="60">
        <v>0.0</v>
      </c>
      <c r="K20" s="60">
        <v>18.0</v>
      </c>
      <c r="L20" s="60">
        <v>18.0</v>
      </c>
      <c r="M20" s="61">
        <f t="shared" si="9"/>
        <v>100</v>
      </c>
      <c r="N20" s="61">
        <f t="shared" si="12"/>
        <v>100</v>
      </c>
      <c r="O20" s="61" t="str">
        <f t="shared" ref="O20:P20" si="16">ROUND((C20+E20)*100/K20,1)</f>
        <v>#REF!</v>
      </c>
      <c r="P20" s="62">
        <f t="shared" si="16"/>
        <v>100</v>
      </c>
      <c r="Q20" s="26"/>
      <c r="R20" s="26"/>
      <c r="S20" s="26"/>
      <c r="T20" s="26"/>
      <c r="U20" s="26"/>
      <c r="V20" s="26"/>
      <c r="W20" s="26"/>
      <c r="X20" s="26"/>
      <c r="Y20" s="26"/>
      <c r="Z20" s="26"/>
    </row>
    <row r="21" ht="15.75" customHeight="1">
      <c r="A21" s="68"/>
      <c r="B21" s="69" t="s">
        <v>93</v>
      </c>
      <c r="C21" s="70">
        <f t="shared" ref="C21:P21" si="17">SUM(C10:C20)</f>
        <v>132</v>
      </c>
      <c r="D21" s="70">
        <f t="shared" si="17"/>
        <v>132</v>
      </c>
      <c r="E21" s="70" t="str">
        <f t="shared" si="17"/>
        <v>#REF!</v>
      </c>
      <c r="F21" s="70" t="str">
        <f t="shared" si="17"/>
        <v>#REF!</v>
      </c>
      <c r="G21" s="70" t="str">
        <f t="shared" si="17"/>
        <v>#REF!</v>
      </c>
      <c r="H21" s="70" t="str">
        <f t="shared" si="17"/>
        <v>#REF!</v>
      </c>
      <c r="I21" s="70" t="str">
        <f t="shared" si="17"/>
        <v>#REF!</v>
      </c>
      <c r="J21" s="70" t="str">
        <f t="shared" si="17"/>
        <v>#REF!</v>
      </c>
      <c r="K21" s="70">
        <f t="shared" si="17"/>
        <v>128</v>
      </c>
      <c r="L21" s="70">
        <f t="shared" si="17"/>
        <v>128</v>
      </c>
      <c r="M21" s="70">
        <f t="shared" si="17"/>
        <v>900</v>
      </c>
      <c r="N21" s="70">
        <f t="shared" si="17"/>
        <v>900</v>
      </c>
      <c r="O21" s="70" t="str">
        <f t="shared" si="17"/>
        <v>#REF!</v>
      </c>
      <c r="P21" s="70" t="str">
        <f t="shared" si="17"/>
        <v>#REF!</v>
      </c>
      <c r="Q21" s="26"/>
      <c r="R21" s="26"/>
      <c r="S21" s="26"/>
      <c r="T21" s="26"/>
      <c r="U21" s="26"/>
      <c r="V21" s="26"/>
      <c r="W21" s="26"/>
      <c r="X21" s="26"/>
      <c r="Y21" s="26"/>
      <c r="Z21" s="26"/>
    </row>
    <row r="22" ht="15.75" customHeight="1">
      <c r="A22" s="71"/>
      <c r="B22" s="72"/>
      <c r="C22" s="73" t="s">
        <v>81</v>
      </c>
      <c r="D22" s="73" t="s">
        <v>94</v>
      </c>
      <c r="E22" s="74"/>
      <c r="F22" s="75"/>
      <c r="G22" s="75"/>
      <c r="H22" s="75"/>
      <c r="I22" s="75"/>
      <c r="J22" s="75"/>
      <c r="K22" s="76"/>
      <c r="L22" s="76"/>
      <c r="M22" s="77"/>
      <c r="N22" s="77"/>
      <c r="O22" s="77"/>
      <c r="P22" s="78"/>
      <c r="Q22" s="79"/>
      <c r="R22" s="79"/>
      <c r="S22" s="79"/>
      <c r="T22" s="79"/>
      <c r="U22" s="79"/>
      <c r="V22" s="79"/>
      <c r="W22" s="79"/>
      <c r="X22" s="79"/>
      <c r="Y22" s="79"/>
      <c r="Z22" s="79"/>
    </row>
    <row r="23" ht="15.75" customHeight="1">
      <c r="A23" s="4"/>
      <c r="B23" s="80" t="s">
        <v>95</v>
      </c>
      <c r="C23" s="81" t="str">
        <f t="shared" ref="C23:D23" si="18">ROUND((C21+E21)*100/K21,1)</f>
        <v>#REF!</v>
      </c>
      <c r="D23" s="82" t="str">
        <f t="shared" si="18"/>
        <v>#REF!</v>
      </c>
      <c r="E23" s="4" t="s">
        <v>96</v>
      </c>
      <c r="F23" s="83"/>
      <c r="G23" s="84"/>
      <c r="H23" s="4"/>
      <c r="I23" s="4"/>
      <c r="J23" s="4"/>
      <c r="K23" s="84"/>
      <c r="L23" s="84"/>
      <c r="M23" s="85"/>
      <c r="N23" s="85"/>
      <c r="O23" s="85"/>
      <c r="P23" s="86"/>
      <c r="Q23" s="79"/>
      <c r="R23" s="79"/>
      <c r="S23" s="79"/>
      <c r="T23" s="79"/>
      <c r="U23" s="79"/>
      <c r="V23" s="79"/>
      <c r="W23" s="79"/>
      <c r="X23" s="79"/>
      <c r="Y23" s="79"/>
      <c r="Z23" s="79"/>
    </row>
    <row r="24" ht="15.75" customHeight="1">
      <c r="A24" s="87"/>
      <c r="B24" s="88" t="s">
        <v>97</v>
      </c>
      <c r="C24" s="89">
        <f t="shared" ref="C24:D24" si="19">ROUND(C21*100/K21,1)</f>
        <v>103.1</v>
      </c>
      <c r="D24" s="90">
        <f t="shared" si="19"/>
        <v>103.1</v>
      </c>
      <c r="E24" s="89" t="s">
        <v>96</v>
      </c>
      <c r="F24" s="91"/>
      <c r="G24" s="92"/>
      <c r="H24" s="87"/>
      <c r="I24" s="87"/>
      <c r="J24" s="87"/>
      <c r="K24" s="92"/>
      <c r="L24" s="92"/>
      <c r="M24" s="93"/>
      <c r="N24" s="93"/>
      <c r="O24" s="93"/>
      <c r="P24" s="94"/>
      <c r="Q24" s="79"/>
      <c r="R24" s="79"/>
      <c r="S24" s="79"/>
      <c r="T24" s="79"/>
      <c r="U24" s="79"/>
      <c r="V24" s="79"/>
      <c r="W24" s="79"/>
      <c r="X24" s="79"/>
      <c r="Y24" s="79"/>
      <c r="Z24" s="79"/>
    </row>
    <row r="25" ht="15.75" customHeight="1">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5.75" customHeight="1">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5.75" customHeight="1">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5.75" customHeight="1">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5.75" customHeight="1">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5.75" customHeight="1">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5.75"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5.7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5.7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5.75" customHeight="1">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5.75" customHeight="1">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5.75" customHeight="1">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5.7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5.7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5.7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5.7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5.7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5.7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5.7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5.7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5.7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5.7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5.7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5.7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5.7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5.7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5.7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5.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5.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5.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5.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5.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5.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5.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5.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5.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5.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5.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5.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5.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5.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5.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5.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5.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5.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5.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5.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5.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5.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5.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5.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5.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5.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5.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5.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5.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5.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5.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5.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5.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5.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5.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5.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5.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5.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5.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5.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5.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5.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5.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5.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5.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5.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5.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5.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5.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5.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5.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5.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5.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5.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5.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5.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5.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5.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5.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5.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5.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5.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5.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5.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5.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5.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5.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5.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5.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5.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5.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5.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5.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5.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5.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5.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5.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5.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5.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5.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5.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5.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5.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5.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5.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5.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5.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5.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5.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5.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5.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5.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5.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5.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5.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5.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5.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5.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5.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5.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5.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5.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5.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5.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5.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5.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5.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5.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5.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5.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5.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5.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5.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5.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5.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5.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5.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5.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5.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5.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5.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5.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5.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5.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5.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5.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5.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5.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5.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5.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5.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5.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5.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5.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5.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5.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5.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5.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5.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5.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5.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5.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5.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5.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5.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5.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5.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5.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5.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5.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5.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5.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5.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5.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5.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5.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5.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5.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5.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5.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5.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5.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5.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5.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5.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5.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5.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5.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5.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5.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5.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5.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5.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5.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5.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5.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5.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5.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5.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5.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5.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5.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5.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5.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5.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5.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5.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5.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5.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5.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5.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5.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5.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5.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5.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5.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5.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5.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5.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5.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5.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5.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5.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5.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5.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5.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5.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5.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5.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5.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5.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5.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5.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5.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5.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5.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5.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5.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5.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5.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5.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5.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5.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5.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5.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5.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5.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5.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5.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5.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5.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5.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5.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5.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5.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5.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5.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5.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5.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5.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5.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5.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5.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5.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5.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5.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5.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5.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5.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5.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5.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5.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5.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5.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5.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5.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5.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5.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5.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5.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5.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5.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5.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5.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5.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5.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5.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5.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5.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5.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5.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5.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5.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5.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5.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5.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5.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5.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5.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5.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5.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5.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5.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5.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5.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5.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5.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5.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5.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5.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5.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5.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5.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5.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5.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5.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5.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5.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5.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5.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5.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5.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5.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5.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5.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5.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5.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5.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5.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5.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5.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5.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5.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5.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5.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5.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5.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5.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5.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5.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5.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5.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5.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5.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5.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5.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5.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5.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5.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5.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5.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5.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5.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5.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5.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5.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5.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5.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5.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5.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5.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5.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5.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5.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5.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5.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5.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5.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5.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5.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5.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5.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5.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5.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5.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5.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5.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5.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5.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5.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5.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5.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5.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5.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5.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5.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5.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5.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5.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5.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5.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5.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5.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5.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5.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5.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5.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5.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5.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5.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5.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5.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5.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5.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5.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5.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5.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5.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5.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5.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5.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5.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5.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5.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5.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5.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5.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5.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5.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5.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5.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5.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5.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5.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5.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5.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5.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5.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5.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5.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5.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5.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5.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5.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5.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5.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5.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5.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5.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5.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5.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5.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5.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5.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5.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5.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5.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5.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5.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5.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5.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5.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5.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5.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5.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5.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5.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5.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5.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5.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5.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5.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5.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5.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5.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5.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5.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5.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5.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5.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5.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5.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5.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5.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5.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5.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5.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5.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5.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5.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5.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5.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5.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5.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5.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5.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5.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5.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5.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5.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5.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5.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5.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5.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5.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5.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5.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5.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5.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5.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5.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5.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5.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5.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5.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5.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5.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5.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5.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5.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5.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5.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5.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5.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5.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5.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5.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5.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5.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5.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5.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5.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5.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5.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5.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5.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5.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5.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5.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5.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5.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5.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5.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5.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5.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5.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5.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5.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5.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5.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5.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5.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5.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5.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5.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5.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5.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5.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5.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5.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5.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5.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5.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5.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5.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5.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5.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5.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5.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5.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5.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5.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5.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5.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5.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5.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5.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5.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5.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5.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5.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5.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5.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5.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5.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5.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5.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5.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5.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5.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5.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5.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5.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5.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5.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5.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5.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5.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5.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5.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5.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5.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5.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5.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5.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5.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5.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5.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5.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5.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5.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5.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5.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5.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5.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5.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5.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5.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5.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5.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5.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5.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5.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5.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5.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5.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5.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5.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5.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5.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5.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5.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5.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5.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5.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5.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5.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5.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5.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5.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5.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5.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5.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5.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5.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5.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5.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5.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5.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5.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5.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5.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5.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5.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5.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5.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5.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5.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5.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5.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5.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5.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5.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5.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5.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5.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5.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5.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5.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5.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5.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5.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5.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5.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5.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5.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5.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5.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5.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5.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5.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5.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5.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5.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5.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5.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5.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5.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5.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5.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5.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5.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5.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5.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5.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5.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5.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5.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5.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5.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5.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5.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5.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5.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5.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5.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5.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5.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5.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5.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5.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5.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5.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5.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5.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5.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5.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5.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5.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5.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5.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5.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5.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5.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5.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5.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5.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5.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5.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5.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5.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5.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5.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5.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5.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5.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5.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5.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5.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5.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5.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5.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5.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5.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5.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5.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5.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5.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5.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5.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5.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5.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5.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5.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5.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5.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5.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5.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5.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5.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5.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5.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5.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5.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5.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5.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5.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5.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5.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5.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5.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5.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5.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5.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5.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5.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5.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5.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5.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5.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5.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5.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5.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5.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5.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5.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5.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5.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5.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5.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5.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5.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5.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5.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5.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5.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5.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5.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5.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5.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5.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5.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5.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5.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5.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5.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5.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5.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5.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5.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5.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5.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5.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5.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5.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5.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5.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5.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5.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5.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5.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5.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5.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5.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5.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5.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5.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5.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5.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5.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5.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5.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5.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5.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5.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5.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5.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5.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5.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5.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5.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5.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5.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5.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5.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5.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5.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5.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5.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5.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5.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5.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5.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5.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5.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5.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5.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5.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5.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5.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5.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5.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5.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5.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5.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5.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5.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5.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5.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5.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5.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5.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5.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5.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5.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5.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5.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5.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5.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5.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5.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5.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5.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5.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5.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5.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5.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5.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5.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5.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5.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5.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5.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5.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5.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5.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5.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5.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5.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5.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5.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5.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5.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5.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5.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5.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5.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5.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5.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5.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5.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5.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5.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5.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5.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5.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5.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5.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5.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5.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5.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5.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5.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5.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5.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5.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5.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5.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5.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5.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5.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5.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5.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5.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5.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5.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5.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5.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5.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5.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5.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5.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5.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5.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5.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5.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5.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5.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5.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5.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5.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5.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5.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5.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5.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5.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5.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5.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5.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5.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5.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5.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5.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5.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5.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5.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5.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5.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5.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5.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5.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5.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5.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5.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5.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5.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5.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5.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5.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18">
    <mergeCell ref="H5:K5"/>
    <mergeCell ref="B6:K6"/>
    <mergeCell ref="A1:P1"/>
    <mergeCell ref="B3:C3"/>
    <mergeCell ref="E3:G3"/>
    <mergeCell ref="H3:K3"/>
    <mergeCell ref="B4:C4"/>
    <mergeCell ref="H4:K4"/>
    <mergeCell ref="B5:C5"/>
    <mergeCell ref="M7:N8"/>
    <mergeCell ref="O7:P8"/>
    <mergeCell ref="E4:G4"/>
    <mergeCell ref="E5:G5"/>
    <mergeCell ref="C7:D8"/>
    <mergeCell ref="E7:F8"/>
    <mergeCell ref="G7:H8"/>
    <mergeCell ref="I7:J8"/>
    <mergeCell ref="K7:L8"/>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13.57"/>
    <col customWidth="1" min="2" max="2" width="41.14"/>
    <col customWidth="1" min="3" max="3" width="43.71"/>
    <col customWidth="1" min="4" max="4" width="42.57"/>
    <col customWidth="1" min="5" max="5" width="38.57"/>
    <col customWidth="1" min="6" max="6" width="20.14"/>
    <col customWidth="1" min="7" max="7" width="15.86"/>
    <col customWidth="1" min="8" max="8" width="17.0"/>
    <col customWidth="1" min="9" max="9" width="12.14"/>
    <col customWidth="1" min="10" max="10" width="15.86"/>
    <col customWidth="1" min="11" max="11" width="17.0"/>
    <col customWidth="1" min="12" max="12" width="10.71"/>
    <col customWidth="1" min="13" max="32" width="8.71"/>
  </cols>
  <sheetData>
    <row r="1">
      <c r="A1" s="95" t="s">
        <v>98</v>
      </c>
      <c r="B1" s="96" t="s">
        <v>2</v>
      </c>
      <c r="C1" s="97"/>
      <c r="D1" s="97"/>
      <c r="E1" s="97"/>
      <c r="F1" s="98"/>
    </row>
    <row r="2">
      <c r="A2" s="95" t="s">
        <v>99</v>
      </c>
      <c r="B2" s="99" t="s">
        <v>8</v>
      </c>
      <c r="C2" s="97"/>
      <c r="D2" s="97"/>
      <c r="E2" s="97"/>
      <c r="F2" s="98"/>
    </row>
    <row r="3">
      <c r="A3" s="100"/>
      <c r="B3" s="101" t="s">
        <v>73</v>
      </c>
      <c r="C3" s="101" t="s">
        <v>74</v>
      </c>
      <c r="D3" s="101" t="s">
        <v>100</v>
      </c>
      <c r="E3" s="102" t="s">
        <v>76</v>
      </c>
      <c r="F3" s="101" t="s">
        <v>101</v>
      </c>
    </row>
    <row r="4">
      <c r="A4" s="51" t="s">
        <v>102</v>
      </c>
      <c r="B4" s="100">
        <v>30.0</v>
      </c>
      <c r="C4" s="100">
        <v>1.0</v>
      </c>
      <c r="D4" s="100">
        <v>0.0</v>
      </c>
      <c r="E4" s="100">
        <v>0.0</v>
      </c>
      <c r="F4" s="100">
        <f t="shared" ref="F4:F5" si="1">B4</f>
        <v>30</v>
      </c>
    </row>
    <row r="5">
      <c r="A5" s="51" t="s">
        <v>103</v>
      </c>
      <c r="B5" s="100">
        <v>30.0</v>
      </c>
      <c r="C5" s="100">
        <v>1.0</v>
      </c>
      <c r="D5" s="100">
        <v>0.0</v>
      </c>
      <c r="E5" s="103">
        <v>0.0</v>
      </c>
      <c r="F5" s="100">
        <f t="shared" si="1"/>
        <v>30</v>
      </c>
    </row>
    <row r="6">
      <c r="B6" s="104"/>
      <c r="C6" s="105"/>
      <c r="D6" s="104"/>
      <c r="E6" s="105"/>
      <c r="F6" s="10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B30" s="107"/>
      <c r="C30" s="107"/>
      <c r="D30" s="107"/>
      <c r="E30" s="107"/>
      <c r="F30" s="107"/>
      <c r="G30" s="107"/>
    </row>
    <row r="31" ht="15.75" customHeight="1">
      <c r="A31" s="108" t="s">
        <v>104</v>
      </c>
      <c r="B31" s="108" t="s">
        <v>7</v>
      </c>
      <c r="C31" s="108" t="s">
        <v>105</v>
      </c>
      <c r="D31" s="108" t="s">
        <v>106</v>
      </c>
      <c r="E31" s="108" t="s">
        <v>107</v>
      </c>
      <c r="F31" s="109" t="s">
        <v>108</v>
      </c>
      <c r="G31" s="97"/>
      <c r="H31" s="97"/>
      <c r="I31" s="97"/>
      <c r="J31" s="97"/>
      <c r="K31" s="98"/>
      <c r="L31" s="110" t="s">
        <v>109</v>
      </c>
    </row>
    <row r="32" ht="15.75" customHeight="1">
      <c r="A32" s="21"/>
      <c r="B32" s="21"/>
      <c r="C32" s="21"/>
      <c r="D32" s="21"/>
      <c r="E32" s="21"/>
      <c r="F32" s="109" t="s">
        <v>81</v>
      </c>
      <c r="G32" s="97"/>
      <c r="H32" s="98"/>
      <c r="I32" s="109" t="s">
        <v>82</v>
      </c>
      <c r="J32" s="97"/>
      <c r="K32" s="98"/>
      <c r="L32" s="21"/>
    </row>
    <row r="33" ht="15.75" customHeight="1">
      <c r="A33" s="23"/>
      <c r="B33" s="23"/>
      <c r="C33" s="23"/>
      <c r="D33" s="23"/>
      <c r="E33" s="23"/>
      <c r="F33" s="111" t="s">
        <v>110</v>
      </c>
      <c r="G33" s="112" t="s">
        <v>111</v>
      </c>
      <c r="H33" s="111" t="s">
        <v>112</v>
      </c>
      <c r="I33" s="111" t="s">
        <v>110</v>
      </c>
      <c r="J33" s="111" t="s">
        <v>111</v>
      </c>
      <c r="K33" s="111" t="s">
        <v>112</v>
      </c>
      <c r="L33" s="23"/>
    </row>
    <row r="34" ht="15.75" customHeight="1">
      <c r="A34" s="113" t="s">
        <v>113</v>
      </c>
      <c r="B34" s="97"/>
      <c r="C34" s="97"/>
      <c r="D34" s="97"/>
      <c r="E34" s="97"/>
      <c r="F34" s="97"/>
      <c r="G34" s="97"/>
      <c r="H34" s="97"/>
      <c r="I34" s="97"/>
      <c r="J34" s="97"/>
      <c r="K34" s="97"/>
      <c r="L34" s="98"/>
    </row>
    <row r="35" ht="39.75" customHeight="1">
      <c r="A35" s="114" t="s">
        <v>114</v>
      </c>
      <c r="B35" s="114" t="s">
        <v>115</v>
      </c>
      <c r="C35" s="115"/>
      <c r="D35" s="116" t="s">
        <v>116</v>
      </c>
      <c r="E35" s="116" t="s">
        <v>116</v>
      </c>
      <c r="F35" s="22" t="s">
        <v>117</v>
      </c>
      <c r="G35" s="117" t="s">
        <v>118</v>
      </c>
      <c r="H35" s="22" t="s">
        <v>119</v>
      </c>
      <c r="I35" s="22" t="s">
        <v>117</v>
      </c>
      <c r="J35" s="117" t="s">
        <v>120</v>
      </c>
      <c r="K35" s="22" t="s">
        <v>121</v>
      </c>
      <c r="L35" s="118"/>
    </row>
    <row r="36" ht="39.75" customHeight="1">
      <c r="A36" s="114" t="s">
        <v>122</v>
      </c>
      <c r="B36" s="114" t="s">
        <v>123</v>
      </c>
      <c r="C36" s="115"/>
      <c r="D36" s="116" t="s">
        <v>116</v>
      </c>
      <c r="E36" s="116" t="s">
        <v>116</v>
      </c>
      <c r="F36" s="22" t="s">
        <v>117</v>
      </c>
      <c r="G36" s="117" t="s">
        <v>118</v>
      </c>
      <c r="H36" s="22" t="s">
        <v>119</v>
      </c>
      <c r="I36" s="22" t="s">
        <v>117</v>
      </c>
      <c r="J36" s="117" t="s">
        <v>120</v>
      </c>
      <c r="K36" s="22" t="s">
        <v>121</v>
      </c>
      <c r="L36" s="118"/>
    </row>
    <row r="37" ht="39.75" customHeight="1">
      <c r="A37" s="114" t="s">
        <v>124</v>
      </c>
      <c r="B37" s="114" t="s">
        <v>125</v>
      </c>
      <c r="C37" s="115"/>
      <c r="D37" s="116" t="s">
        <v>116</v>
      </c>
      <c r="E37" s="116" t="s">
        <v>116</v>
      </c>
      <c r="F37" s="22" t="s">
        <v>117</v>
      </c>
      <c r="G37" s="117" t="s">
        <v>118</v>
      </c>
      <c r="H37" s="22" t="s">
        <v>119</v>
      </c>
      <c r="I37" s="22" t="s">
        <v>117</v>
      </c>
      <c r="J37" s="117" t="s">
        <v>120</v>
      </c>
      <c r="K37" s="22" t="s">
        <v>121</v>
      </c>
      <c r="L37" s="118"/>
    </row>
    <row r="38" ht="39.75" customHeight="1">
      <c r="A38" s="114" t="s">
        <v>126</v>
      </c>
      <c r="B38" s="114" t="s">
        <v>127</v>
      </c>
      <c r="C38" s="115"/>
      <c r="D38" s="116" t="s">
        <v>116</v>
      </c>
      <c r="E38" s="116" t="s">
        <v>116</v>
      </c>
      <c r="F38" s="22" t="s">
        <v>117</v>
      </c>
      <c r="G38" s="117" t="s">
        <v>118</v>
      </c>
      <c r="H38" s="22" t="s">
        <v>119</v>
      </c>
      <c r="I38" s="22" t="s">
        <v>117</v>
      </c>
      <c r="J38" s="117" t="s">
        <v>120</v>
      </c>
      <c r="K38" s="22" t="s">
        <v>121</v>
      </c>
      <c r="L38" s="118"/>
    </row>
    <row r="39" ht="39.75" customHeight="1">
      <c r="A39" s="114" t="s">
        <v>128</v>
      </c>
      <c r="B39" s="114" t="s">
        <v>129</v>
      </c>
      <c r="C39" s="115"/>
      <c r="D39" s="116" t="s">
        <v>116</v>
      </c>
      <c r="E39" s="116" t="s">
        <v>116</v>
      </c>
      <c r="F39" s="22" t="s">
        <v>117</v>
      </c>
      <c r="G39" s="117" t="s">
        <v>118</v>
      </c>
      <c r="H39" s="22" t="s">
        <v>119</v>
      </c>
      <c r="I39" s="22" t="s">
        <v>117</v>
      </c>
      <c r="J39" s="117" t="s">
        <v>120</v>
      </c>
      <c r="K39" s="22" t="s">
        <v>121</v>
      </c>
      <c r="L39" s="118"/>
    </row>
    <row r="40" ht="39.75" customHeight="1">
      <c r="A40" s="114" t="s">
        <v>130</v>
      </c>
      <c r="B40" s="119" t="s">
        <v>131</v>
      </c>
      <c r="C40" s="115"/>
      <c r="D40" s="120" t="s">
        <v>132</v>
      </c>
      <c r="E40" s="119" t="s">
        <v>133</v>
      </c>
      <c r="F40" s="22" t="s">
        <v>117</v>
      </c>
      <c r="G40" s="117" t="s">
        <v>118</v>
      </c>
      <c r="H40" s="22" t="s">
        <v>119</v>
      </c>
      <c r="I40" s="22" t="s">
        <v>117</v>
      </c>
      <c r="J40" s="117" t="s">
        <v>120</v>
      </c>
      <c r="K40" s="22" t="s">
        <v>121</v>
      </c>
      <c r="L40" s="118"/>
      <c r="M40" s="121"/>
    </row>
    <row r="41" ht="51.75" customHeight="1">
      <c r="A41" s="114" t="s">
        <v>134</v>
      </c>
      <c r="B41" s="119" t="s">
        <v>135</v>
      </c>
      <c r="C41" s="115"/>
      <c r="D41" s="114" t="s">
        <v>136</v>
      </c>
      <c r="E41" s="114" t="s">
        <v>136</v>
      </c>
      <c r="F41" s="22" t="s">
        <v>117</v>
      </c>
      <c r="G41" s="117" t="s">
        <v>118</v>
      </c>
      <c r="H41" s="22" t="s">
        <v>119</v>
      </c>
      <c r="I41" s="22" t="s">
        <v>117</v>
      </c>
      <c r="J41" s="117" t="s">
        <v>120</v>
      </c>
      <c r="K41" s="22" t="s">
        <v>121</v>
      </c>
      <c r="L41" s="118"/>
    </row>
    <row r="42" ht="39.75" customHeight="1">
      <c r="A42" s="114" t="s">
        <v>137</v>
      </c>
      <c r="B42" s="114" t="s">
        <v>138</v>
      </c>
      <c r="C42" s="115"/>
      <c r="D42" s="116" t="s">
        <v>139</v>
      </c>
      <c r="E42" s="116" t="s">
        <v>139</v>
      </c>
      <c r="F42" s="22" t="s">
        <v>117</v>
      </c>
      <c r="G42" s="117" t="s">
        <v>118</v>
      </c>
      <c r="H42" s="22" t="s">
        <v>119</v>
      </c>
      <c r="I42" s="22" t="s">
        <v>117</v>
      </c>
      <c r="J42" s="117" t="s">
        <v>120</v>
      </c>
      <c r="K42" s="22" t="s">
        <v>121</v>
      </c>
      <c r="L42" s="122"/>
    </row>
    <row r="43" ht="39.75" customHeight="1">
      <c r="A43" s="114" t="s">
        <v>140</v>
      </c>
      <c r="B43" s="114" t="s">
        <v>141</v>
      </c>
      <c r="C43" s="115"/>
      <c r="D43" s="116" t="s">
        <v>116</v>
      </c>
      <c r="E43" s="116" t="s">
        <v>116</v>
      </c>
      <c r="F43" s="22" t="s">
        <v>117</v>
      </c>
      <c r="G43" s="117" t="s">
        <v>118</v>
      </c>
      <c r="H43" s="22" t="s">
        <v>119</v>
      </c>
      <c r="I43" s="22" t="s">
        <v>117</v>
      </c>
      <c r="J43" s="117" t="s">
        <v>120</v>
      </c>
      <c r="K43" s="22" t="s">
        <v>121</v>
      </c>
      <c r="L43" s="115"/>
      <c r="M43" s="123"/>
      <c r="N43" s="123"/>
      <c r="O43" s="123"/>
      <c r="P43" s="123"/>
      <c r="Q43" s="123"/>
      <c r="R43" s="123"/>
      <c r="S43" s="123"/>
      <c r="T43" s="123"/>
      <c r="U43" s="123"/>
      <c r="V43" s="123"/>
      <c r="W43" s="123"/>
      <c r="X43" s="123"/>
      <c r="Y43" s="123"/>
      <c r="Z43" s="123"/>
      <c r="AA43" s="123"/>
      <c r="AB43" s="123"/>
      <c r="AC43" s="123"/>
      <c r="AD43" s="123"/>
      <c r="AE43" s="123"/>
      <c r="AF43" s="123"/>
    </row>
    <row r="44" ht="51.75" customHeight="1">
      <c r="A44" s="114" t="s">
        <v>142</v>
      </c>
      <c r="B44" s="119" t="s">
        <v>143</v>
      </c>
      <c r="C44" s="115"/>
      <c r="D44" s="114" t="s">
        <v>136</v>
      </c>
      <c r="E44" s="114" t="s">
        <v>136</v>
      </c>
      <c r="F44" s="22" t="s">
        <v>117</v>
      </c>
      <c r="G44" s="117" t="s">
        <v>118</v>
      </c>
      <c r="H44" s="22" t="s">
        <v>119</v>
      </c>
      <c r="I44" s="22" t="s">
        <v>117</v>
      </c>
      <c r="J44" s="117" t="s">
        <v>120</v>
      </c>
      <c r="K44" s="22" t="s">
        <v>121</v>
      </c>
      <c r="L44" s="115"/>
      <c r="M44" s="123"/>
      <c r="N44" s="123"/>
      <c r="O44" s="123"/>
      <c r="P44" s="123"/>
      <c r="Q44" s="123"/>
      <c r="R44" s="123"/>
      <c r="S44" s="123"/>
      <c r="T44" s="123"/>
      <c r="U44" s="123"/>
      <c r="V44" s="123"/>
      <c r="W44" s="123"/>
      <c r="X44" s="123"/>
      <c r="Y44" s="123"/>
      <c r="Z44" s="123"/>
      <c r="AA44" s="123"/>
      <c r="AB44" s="123"/>
      <c r="AC44" s="123"/>
      <c r="AD44" s="123"/>
      <c r="AE44" s="123"/>
      <c r="AF44" s="123"/>
    </row>
    <row r="45" ht="40.5" customHeight="1">
      <c r="A45" s="114" t="s">
        <v>144</v>
      </c>
      <c r="B45" s="114" t="s">
        <v>145</v>
      </c>
      <c r="C45" s="115"/>
      <c r="D45" s="116" t="s">
        <v>139</v>
      </c>
      <c r="E45" s="116" t="s">
        <v>139</v>
      </c>
      <c r="F45" s="22" t="s">
        <v>117</v>
      </c>
      <c r="G45" s="117" t="s">
        <v>118</v>
      </c>
      <c r="H45" s="22" t="s">
        <v>119</v>
      </c>
      <c r="I45" s="22" t="s">
        <v>117</v>
      </c>
      <c r="J45" s="117" t="s">
        <v>120</v>
      </c>
      <c r="K45" s="22" t="s">
        <v>121</v>
      </c>
      <c r="L45" s="115"/>
      <c r="M45" s="123"/>
      <c r="N45" s="123"/>
      <c r="O45" s="123"/>
      <c r="P45" s="123"/>
      <c r="Q45" s="123"/>
      <c r="R45" s="123"/>
      <c r="S45" s="123"/>
      <c r="T45" s="123"/>
      <c r="U45" s="123"/>
      <c r="V45" s="123"/>
      <c r="W45" s="123"/>
      <c r="X45" s="123"/>
      <c r="Y45" s="123"/>
      <c r="Z45" s="123"/>
      <c r="AA45" s="123"/>
      <c r="AB45" s="123"/>
      <c r="AC45" s="123"/>
      <c r="AD45" s="123"/>
      <c r="AE45" s="123"/>
      <c r="AF45" s="123"/>
    </row>
    <row r="46" ht="15.75" customHeight="1">
      <c r="A46" s="114" t="s">
        <v>146</v>
      </c>
      <c r="B46" s="114" t="s">
        <v>147</v>
      </c>
      <c r="C46" s="115"/>
      <c r="D46" s="116" t="s">
        <v>139</v>
      </c>
      <c r="E46" s="116" t="s">
        <v>139</v>
      </c>
      <c r="F46" s="22" t="s">
        <v>117</v>
      </c>
      <c r="G46" s="117" t="s">
        <v>118</v>
      </c>
      <c r="H46" s="22" t="s">
        <v>119</v>
      </c>
      <c r="I46" s="22" t="s">
        <v>117</v>
      </c>
      <c r="J46" s="117" t="s">
        <v>120</v>
      </c>
      <c r="K46" s="22" t="s">
        <v>121</v>
      </c>
      <c r="L46" s="115"/>
      <c r="M46" s="123"/>
      <c r="N46" s="123"/>
      <c r="O46" s="123"/>
      <c r="P46" s="123"/>
      <c r="Q46" s="123"/>
      <c r="R46" s="123"/>
      <c r="S46" s="123"/>
      <c r="T46" s="123"/>
      <c r="U46" s="123"/>
      <c r="V46" s="123"/>
      <c r="W46" s="123"/>
      <c r="X46" s="123"/>
      <c r="Y46" s="123"/>
      <c r="Z46" s="123"/>
      <c r="AA46" s="123"/>
      <c r="AB46" s="123"/>
      <c r="AC46" s="123"/>
      <c r="AD46" s="123"/>
      <c r="AE46" s="123"/>
      <c r="AF46" s="123"/>
    </row>
    <row r="47" ht="15.75" customHeight="1">
      <c r="A47" s="114" t="s">
        <v>148</v>
      </c>
      <c r="B47" s="114" t="s">
        <v>149</v>
      </c>
      <c r="C47" s="115"/>
      <c r="D47" s="116" t="s">
        <v>139</v>
      </c>
      <c r="E47" s="116" t="s">
        <v>139</v>
      </c>
      <c r="F47" s="22" t="s">
        <v>117</v>
      </c>
      <c r="G47" s="117" t="s">
        <v>118</v>
      </c>
      <c r="H47" s="22" t="s">
        <v>119</v>
      </c>
      <c r="I47" s="22" t="s">
        <v>117</v>
      </c>
      <c r="J47" s="117" t="s">
        <v>120</v>
      </c>
      <c r="K47" s="22" t="s">
        <v>121</v>
      </c>
      <c r="L47" s="115"/>
      <c r="M47" s="123"/>
      <c r="N47" s="123"/>
      <c r="O47" s="123"/>
      <c r="P47" s="123"/>
      <c r="Q47" s="123"/>
      <c r="R47" s="123"/>
      <c r="S47" s="123"/>
      <c r="T47" s="123"/>
      <c r="U47" s="123"/>
      <c r="V47" s="123"/>
      <c r="W47" s="123"/>
      <c r="X47" s="123"/>
      <c r="Y47" s="123"/>
      <c r="Z47" s="123"/>
      <c r="AA47" s="123"/>
      <c r="AB47" s="123"/>
      <c r="AC47" s="123"/>
      <c r="AD47" s="123"/>
      <c r="AE47" s="123"/>
      <c r="AF47" s="123"/>
    </row>
    <row r="48" ht="15.75" customHeight="1">
      <c r="A48" s="124" t="s">
        <v>150</v>
      </c>
      <c r="B48" s="97"/>
      <c r="C48" s="97"/>
      <c r="D48" s="97"/>
      <c r="E48" s="97"/>
      <c r="F48" s="97"/>
      <c r="G48" s="97"/>
      <c r="H48" s="97"/>
      <c r="I48" s="97"/>
      <c r="J48" s="97"/>
      <c r="K48" s="97"/>
      <c r="L48" s="98"/>
      <c r="M48" s="123"/>
      <c r="N48" s="123"/>
      <c r="O48" s="123"/>
      <c r="P48" s="123"/>
      <c r="Q48" s="123"/>
      <c r="R48" s="123"/>
      <c r="S48" s="123"/>
      <c r="T48" s="123"/>
      <c r="U48" s="123"/>
      <c r="V48" s="123"/>
      <c r="W48" s="123"/>
      <c r="X48" s="123"/>
      <c r="Y48" s="123"/>
      <c r="Z48" s="123"/>
      <c r="AA48" s="123"/>
      <c r="AB48" s="123"/>
      <c r="AC48" s="123"/>
      <c r="AD48" s="123"/>
      <c r="AE48" s="123"/>
      <c r="AF48" s="123"/>
    </row>
    <row r="49" ht="15.75" customHeight="1">
      <c r="A49" s="114" t="s">
        <v>151</v>
      </c>
      <c r="B49" s="114" t="s">
        <v>152</v>
      </c>
      <c r="C49" s="125" t="s">
        <v>153</v>
      </c>
      <c r="D49" s="119" t="s">
        <v>154</v>
      </c>
      <c r="E49" s="119" t="s">
        <v>154</v>
      </c>
      <c r="F49" s="22" t="s">
        <v>117</v>
      </c>
      <c r="G49" s="117" t="s">
        <v>118</v>
      </c>
      <c r="H49" s="22" t="s">
        <v>119</v>
      </c>
      <c r="I49" s="22" t="s">
        <v>117</v>
      </c>
      <c r="J49" s="117" t="s">
        <v>120</v>
      </c>
      <c r="K49" s="22" t="s">
        <v>121</v>
      </c>
      <c r="L49" s="115"/>
      <c r="M49" s="123"/>
      <c r="N49" s="123"/>
      <c r="O49" s="123"/>
      <c r="P49" s="123"/>
      <c r="Q49" s="123"/>
      <c r="R49" s="123"/>
      <c r="S49" s="123"/>
      <c r="T49" s="123"/>
      <c r="U49" s="123"/>
      <c r="V49" s="123"/>
      <c r="W49" s="123"/>
      <c r="X49" s="123"/>
      <c r="Y49" s="123"/>
      <c r="Z49" s="123"/>
      <c r="AA49" s="123"/>
      <c r="AB49" s="123"/>
      <c r="AC49" s="123"/>
      <c r="AD49" s="123"/>
      <c r="AE49" s="123"/>
      <c r="AF49" s="123"/>
    </row>
    <row r="50" ht="15.75" customHeight="1">
      <c r="A50" s="114" t="s">
        <v>155</v>
      </c>
      <c r="B50" s="114" t="s">
        <v>156</v>
      </c>
      <c r="C50" s="125" t="s">
        <v>157</v>
      </c>
      <c r="D50" s="119" t="s">
        <v>158</v>
      </c>
      <c r="E50" s="119" t="s">
        <v>158</v>
      </c>
      <c r="F50" s="22" t="s">
        <v>117</v>
      </c>
      <c r="G50" s="117" t="s">
        <v>118</v>
      </c>
      <c r="H50" s="22" t="s">
        <v>119</v>
      </c>
      <c r="I50" s="22" t="s">
        <v>117</v>
      </c>
      <c r="J50" s="117" t="s">
        <v>120</v>
      </c>
      <c r="K50" s="22" t="s">
        <v>121</v>
      </c>
      <c r="L50" s="115"/>
      <c r="M50" s="123"/>
      <c r="N50" s="123"/>
      <c r="O50" s="123"/>
      <c r="P50" s="123"/>
      <c r="Q50" s="123"/>
      <c r="R50" s="123"/>
      <c r="S50" s="123"/>
      <c r="T50" s="123"/>
      <c r="U50" s="123"/>
      <c r="V50" s="123"/>
      <c r="W50" s="123"/>
      <c r="X50" s="123"/>
      <c r="Y50" s="123"/>
      <c r="Z50" s="123"/>
      <c r="AA50" s="123"/>
      <c r="AB50" s="123"/>
      <c r="AC50" s="123"/>
      <c r="AD50" s="123"/>
      <c r="AE50" s="123"/>
      <c r="AF50" s="123"/>
    </row>
    <row r="51" ht="15.75" customHeight="1">
      <c r="A51" s="114" t="s">
        <v>159</v>
      </c>
      <c r="B51" s="114" t="s">
        <v>160</v>
      </c>
      <c r="C51" s="125" t="s">
        <v>161</v>
      </c>
      <c r="D51" s="119" t="s">
        <v>162</v>
      </c>
      <c r="E51" s="119" t="s">
        <v>162</v>
      </c>
      <c r="F51" s="22" t="s">
        <v>117</v>
      </c>
      <c r="G51" s="117" t="s">
        <v>118</v>
      </c>
      <c r="H51" s="22" t="s">
        <v>119</v>
      </c>
      <c r="I51" s="22" t="s">
        <v>117</v>
      </c>
      <c r="J51" s="117" t="s">
        <v>120</v>
      </c>
      <c r="K51" s="22" t="s">
        <v>121</v>
      </c>
      <c r="L51" s="115"/>
      <c r="M51" s="123"/>
    </row>
    <row r="52" ht="15.75" customHeight="1">
      <c r="A52" s="114" t="s">
        <v>163</v>
      </c>
      <c r="B52" s="119" t="s">
        <v>164</v>
      </c>
      <c r="C52" s="125" t="s">
        <v>165</v>
      </c>
      <c r="D52" s="119" t="s">
        <v>166</v>
      </c>
      <c r="E52" s="119" t="s">
        <v>166</v>
      </c>
      <c r="F52" s="22" t="s">
        <v>117</v>
      </c>
      <c r="G52" s="117" t="s">
        <v>118</v>
      </c>
      <c r="H52" s="22" t="s">
        <v>119</v>
      </c>
      <c r="I52" s="22" t="s">
        <v>117</v>
      </c>
      <c r="J52" s="117" t="s">
        <v>120</v>
      </c>
      <c r="K52" s="22" t="s">
        <v>121</v>
      </c>
      <c r="L52" s="115"/>
    </row>
    <row r="53" ht="15.75" customHeight="1">
      <c r="A53" s="114" t="s">
        <v>167</v>
      </c>
      <c r="B53" s="119" t="s">
        <v>168</v>
      </c>
      <c r="C53" s="125" t="s">
        <v>169</v>
      </c>
      <c r="D53" s="119" t="s">
        <v>170</v>
      </c>
      <c r="E53" s="119" t="s">
        <v>170</v>
      </c>
      <c r="F53" s="22" t="s">
        <v>117</v>
      </c>
      <c r="G53" s="117" t="s">
        <v>118</v>
      </c>
      <c r="H53" s="22" t="s">
        <v>119</v>
      </c>
      <c r="I53" s="22" t="s">
        <v>117</v>
      </c>
      <c r="J53" s="117" t="s">
        <v>120</v>
      </c>
      <c r="K53" s="22" t="s">
        <v>121</v>
      </c>
      <c r="L53" s="115"/>
    </row>
    <row r="54" ht="15.75" customHeight="1">
      <c r="A54" s="114" t="s">
        <v>171</v>
      </c>
      <c r="B54" s="119" t="s">
        <v>172</v>
      </c>
      <c r="C54" s="125" t="s">
        <v>173</v>
      </c>
      <c r="D54" s="119" t="s">
        <v>174</v>
      </c>
      <c r="E54" s="119" t="s">
        <v>174</v>
      </c>
      <c r="F54" s="22" t="s">
        <v>117</v>
      </c>
      <c r="G54" s="117" t="s">
        <v>118</v>
      </c>
      <c r="H54" s="22" t="s">
        <v>119</v>
      </c>
      <c r="I54" s="22" t="s">
        <v>117</v>
      </c>
      <c r="J54" s="117" t="s">
        <v>120</v>
      </c>
      <c r="K54" s="22" t="s">
        <v>121</v>
      </c>
      <c r="L54" s="115"/>
    </row>
    <row r="55" ht="15.75" customHeight="1">
      <c r="A55" s="114" t="s">
        <v>175</v>
      </c>
      <c r="B55" s="119" t="s">
        <v>176</v>
      </c>
      <c r="C55" s="125" t="s">
        <v>177</v>
      </c>
      <c r="D55" s="119" t="s">
        <v>178</v>
      </c>
      <c r="E55" s="119" t="s">
        <v>178</v>
      </c>
      <c r="F55" s="22" t="s">
        <v>117</v>
      </c>
      <c r="G55" s="117" t="s">
        <v>118</v>
      </c>
      <c r="H55" s="22" t="s">
        <v>119</v>
      </c>
      <c r="I55" s="22" t="s">
        <v>117</v>
      </c>
      <c r="J55" s="117" t="s">
        <v>120</v>
      </c>
      <c r="K55" s="22" t="s">
        <v>121</v>
      </c>
      <c r="L55" s="115"/>
    </row>
    <row r="56" ht="15.75" customHeight="1">
      <c r="A56" s="114" t="s">
        <v>179</v>
      </c>
      <c r="B56" s="119" t="s">
        <v>180</v>
      </c>
      <c r="C56" s="125" t="s">
        <v>181</v>
      </c>
      <c r="D56" s="119" t="s">
        <v>182</v>
      </c>
      <c r="E56" s="119" t="s">
        <v>182</v>
      </c>
      <c r="F56" s="22" t="s">
        <v>117</v>
      </c>
      <c r="G56" s="117" t="s">
        <v>118</v>
      </c>
      <c r="H56" s="22" t="s">
        <v>119</v>
      </c>
      <c r="I56" s="22" t="s">
        <v>117</v>
      </c>
      <c r="J56" s="117" t="s">
        <v>120</v>
      </c>
      <c r="K56" s="22" t="s">
        <v>121</v>
      </c>
      <c r="L56" s="115"/>
    </row>
    <row r="57" ht="15.75" customHeight="1">
      <c r="A57" s="114" t="s">
        <v>183</v>
      </c>
      <c r="B57" s="119" t="s">
        <v>184</v>
      </c>
      <c r="C57" s="125" t="s">
        <v>185</v>
      </c>
      <c r="D57" s="119" t="s">
        <v>186</v>
      </c>
      <c r="E57" s="119" t="s">
        <v>186</v>
      </c>
      <c r="F57" s="22" t="s">
        <v>117</v>
      </c>
      <c r="G57" s="117" t="s">
        <v>118</v>
      </c>
      <c r="H57" s="22" t="s">
        <v>119</v>
      </c>
      <c r="I57" s="22" t="s">
        <v>117</v>
      </c>
      <c r="J57" s="117" t="s">
        <v>120</v>
      </c>
      <c r="K57" s="22" t="s">
        <v>121</v>
      </c>
      <c r="L57" s="115"/>
    </row>
    <row r="58" ht="15.75" customHeight="1">
      <c r="A58" s="114" t="s">
        <v>187</v>
      </c>
      <c r="B58" s="119" t="s">
        <v>188</v>
      </c>
      <c r="C58" s="125" t="s">
        <v>189</v>
      </c>
      <c r="D58" s="119" t="s">
        <v>190</v>
      </c>
      <c r="E58" s="119" t="s">
        <v>190</v>
      </c>
      <c r="F58" s="22" t="s">
        <v>117</v>
      </c>
      <c r="G58" s="117" t="s">
        <v>118</v>
      </c>
      <c r="H58" s="22" t="s">
        <v>119</v>
      </c>
      <c r="I58" s="22" t="s">
        <v>117</v>
      </c>
      <c r="J58" s="117" t="s">
        <v>120</v>
      </c>
      <c r="K58" s="22" t="s">
        <v>121</v>
      </c>
      <c r="L58" s="115"/>
    </row>
    <row r="59" ht="15.75" customHeight="1">
      <c r="A59" s="114" t="s">
        <v>191</v>
      </c>
      <c r="B59" s="119" t="s">
        <v>192</v>
      </c>
      <c r="C59" s="125" t="s">
        <v>193</v>
      </c>
      <c r="D59" s="119" t="s">
        <v>194</v>
      </c>
      <c r="E59" s="119" t="s">
        <v>194</v>
      </c>
      <c r="F59" s="22" t="s">
        <v>117</v>
      </c>
      <c r="G59" s="117" t="s">
        <v>118</v>
      </c>
      <c r="H59" s="22" t="s">
        <v>119</v>
      </c>
      <c r="I59" s="22" t="s">
        <v>117</v>
      </c>
      <c r="J59" s="117" t="s">
        <v>120</v>
      </c>
      <c r="K59" s="22" t="s">
        <v>121</v>
      </c>
      <c r="L59" s="115"/>
    </row>
    <row r="60" ht="15.75" customHeight="1">
      <c r="A60" s="114" t="s">
        <v>195</v>
      </c>
      <c r="B60" s="119" t="s">
        <v>196</v>
      </c>
      <c r="C60" s="125" t="s">
        <v>197</v>
      </c>
      <c r="D60" s="119" t="s">
        <v>198</v>
      </c>
      <c r="E60" s="119" t="s">
        <v>198</v>
      </c>
      <c r="F60" s="22" t="s">
        <v>117</v>
      </c>
      <c r="G60" s="117" t="s">
        <v>118</v>
      </c>
      <c r="H60" s="22" t="s">
        <v>119</v>
      </c>
      <c r="I60" s="22" t="s">
        <v>117</v>
      </c>
      <c r="J60" s="117" t="s">
        <v>120</v>
      </c>
      <c r="K60" s="22" t="s">
        <v>121</v>
      </c>
      <c r="L60" s="115"/>
    </row>
    <row r="61" ht="15.75" customHeight="1">
      <c r="A61" s="114" t="s">
        <v>199</v>
      </c>
      <c r="B61" s="119" t="s">
        <v>200</v>
      </c>
      <c r="C61" s="125" t="s">
        <v>201</v>
      </c>
      <c r="D61" s="119" t="s">
        <v>202</v>
      </c>
      <c r="E61" s="119" t="s">
        <v>202</v>
      </c>
      <c r="F61" s="22" t="s">
        <v>117</v>
      </c>
      <c r="G61" s="117" t="s">
        <v>118</v>
      </c>
      <c r="H61" s="22" t="s">
        <v>119</v>
      </c>
      <c r="I61" s="22" t="s">
        <v>117</v>
      </c>
      <c r="J61" s="117" t="s">
        <v>120</v>
      </c>
      <c r="K61" s="22" t="s">
        <v>121</v>
      </c>
      <c r="L61" s="115"/>
    </row>
    <row r="62" ht="15.75" customHeight="1">
      <c r="A62" s="114" t="s">
        <v>203</v>
      </c>
      <c r="B62" s="119" t="s">
        <v>204</v>
      </c>
      <c r="C62" s="125" t="s">
        <v>205</v>
      </c>
      <c r="D62" s="119" t="s">
        <v>206</v>
      </c>
      <c r="E62" s="119" t="s">
        <v>206</v>
      </c>
      <c r="F62" s="22" t="s">
        <v>117</v>
      </c>
      <c r="G62" s="117" t="s">
        <v>118</v>
      </c>
      <c r="H62" s="22" t="s">
        <v>119</v>
      </c>
      <c r="I62" s="22" t="s">
        <v>117</v>
      </c>
      <c r="J62" s="117" t="s">
        <v>120</v>
      </c>
      <c r="K62" s="22" t="s">
        <v>121</v>
      </c>
      <c r="L62" s="115"/>
    </row>
    <row r="63" ht="15.75" customHeight="1">
      <c r="A63" s="114" t="s">
        <v>207</v>
      </c>
      <c r="B63" s="119" t="s">
        <v>208</v>
      </c>
      <c r="C63" s="125" t="s">
        <v>209</v>
      </c>
      <c r="D63" s="119" t="s">
        <v>210</v>
      </c>
      <c r="E63" s="119" t="s">
        <v>210</v>
      </c>
      <c r="F63" s="22" t="s">
        <v>117</v>
      </c>
      <c r="G63" s="117" t="s">
        <v>118</v>
      </c>
      <c r="H63" s="22" t="s">
        <v>119</v>
      </c>
      <c r="I63" s="22" t="s">
        <v>117</v>
      </c>
      <c r="J63" s="117" t="s">
        <v>120</v>
      </c>
      <c r="K63" s="22" t="s">
        <v>121</v>
      </c>
      <c r="L63" s="115"/>
    </row>
    <row r="64" ht="15.75" customHeight="1">
      <c r="A64" s="114" t="s">
        <v>211</v>
      </c>
      <c r="B64" s="119" t="s">
        <v>13</v>
      </c>
      <c r="C64" s="125" t="s">
        <v>212</v>
      </c>
      <c r="D64" s="119" t="s">
        <v>213</v>
      </c>
      <c r="E64" s="119" t="s">
        <v>213</v>
      </c>
      <c r="F64" s="22" t="s">
        <v>117</v>
      </c>
      <c r="G64" s="117" t="s">
        <v>118</v>
      </c>
      <c r="H64" s="22" t="s">
        <v>119</v>
      </c>
      <c r="I64" s="22" t="s">
        <v>117</v>
      </c>
      <c r="J64" s="117" t="s">
        <v>120</v>
      </c>
      <c r="K64" s="22" t="s">
        <v>121</v>
      </c>
      <c r="L64" s="115"/>
    </row>
    <row r="65" ht="15.75" customHeight="1">
      <c r="A65" s="114" t="s">
        <v>214</v>
      </c>
      <c r="B65" s="119" t="s">
        <v>215</v>
      </c>
      <c r="C65" s="125" t="s">
        <v>216</v>
      </c>
      <c r="D65" s="119" t="s">
        <v>217</v>
      </c>
      <c r="E65" s="119" t="s">
        <v>217</v>
      </c>
      <c r="F65" s="22" t="s">
        <v>117</v>
      </c>
      <c r="G65" s="117" t="s">
        <v>118</v>
      </c>
      <c r="H65" s="22" t="s">
        <v>119</v>
      </c>
      <c r="I65" s="22" t="s">
        <v>117</v>
      </c>
      <c r="J65" s="117" t="s">
        <v>120</v>
      </c>
      <c r="K65" s="22" t="s">
        <v>121</v>
      </c>
      <c r="L65" s="115"/>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31:C33"/>
    <mergeCell ref="D31:D33"/>
    <mergeCell ref="F31:K31"/>
    <mergeCell ref="L31:L33"/>
    <mergeCell ref="F32:H32"/>
    <mergeCell ref="I32:K32"/>
    <mergeCell ref="A34:L34"/>
    <mergeCell ref="A48:L48"/>
    <mergeCell ref="B1:F1"/>
    <mergeCell ref="B2:F2"/>
    <mergeCell ref="B6:C30"/>
    <mergeCell ref="D6:E30"/>
    <mergeCell ref="F6:G30"/>
    <mergeCell ref="A31:A33"/>
    <mergeCell ref="B31:B33"/>
    <mergeCell ref="E31:E33"/>
  </mergeCells>
  <dataValidations>
    <dataValidation type="list" allowBlank="1" showErrorMessage="1" sqref="F35:F47 I35:I47 F49:F53 I49:I65">
      <formula1>"Passed,Untested,Failed,Blocked"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31.71"/>
    <col customWidth="1" min="3" max="3" width="34.29"/>
    <col customWidth="1" min="4" max="4" width="29.0"/>
    <col customWidth="1" min="5" max="5" width="40.0"/>
    <col customWidth="1" min="6" max="6" width="46.0"/>
    <col customWidth="1" min="7" max="7" width="16.0"/>
    <col customWidth="1" min="8" max="8" width="21.57"/>
    <col customWidth="1" min="9" max="9" width="22.71"/>
    <col customWidth="1" min="10" max="10" width="16.0"/>
    <col customWidth="1" min="11" max="11" width="21.57"/>
    <col customWidth="1" min="12" max="12" width="22.71"/>
    <col customWidth="1" min="13" max="13" width="16.0"/>
    <col customWidth="1" min="14" max="26" width="9.14"/>
  </cols>
  <sheetData>
    <row r="1" ht="15.75" customHeight="1">
      <c r="A1" s="126" t="s">
        <v>98</v>
      </c>
      <c r="B1" s="127" t="s">
        <v>2</v>
      </c>
      <c r="C1" s="97"/>
      <c r="D1" s="97"/>
      <c r="E1" s="97"/>
      <c r="F1" s="98"/>
      <c r="G1" s="128"/>
      <c r="H1" s="129"/>
      <c r="I1" s="4"/>
      <c r="J1" s="128"/>
      <c r="K1" s="4"/>
      <c r="L1" s="4"/>
      <c r="M1" s="4"/>
      <c r="N1" s="4"/>
      <c r="O1" s="4"/>
      <c r="P1" s="4"/>
      <c r="Q1" s="4"/>
      <c r="R1" s="4"/>
      <c r="S1" s="4"/>
      <c r="T1" s="4"/>
      <c r="U1" s="4"/>
      <c r="V1" s="4"/>
      <c r="W1" s="4"/>
      <c r="X1" s="4"/>
      <c r="Y1" s="4"/>
      <c r="Z1" s="4"/>
    </row>
    <row r="2" ht="16.5" customHeight="1">
      <c r="A2" s="126" t="s">
        <v>99</v>
      </c>
      <c r="B2" s="130" t="s">
        <v>10</v>
      </c>
      <c r="C2" s="97"/>
      <c r="D2" s="97"/>
      <c r="E2" s="97"/>
      <c r="F2" s="98"/>
      <c r="G2" s="128"/>
      <c r="H2" s="129"/>
      <c r="I2" s="4"/>
      <c r="J2" s="128"/>
      <c r="K2" s="4"/>
      <c r="L2" s="4"/>
      <c r="M2" s="4"/>
      <c r="N2" s="4"/>
      <c r="O2" s="4"/>
      <c r="P2" s="4"/>
      <c r="Q2" s="4"/>
      <c r="R2" s="4"/>
      <c r="S2" s="4"/>
      <c r="T2" s="4"/>
      <c r="U2" s="4"/>
      <c r="V2" s="4"/>
      <c r="W2" s="4"/>
      <c r="X2" s="4"/>
      <c r="Y2" s="4"/>
      <c r="Z2" s="4"/>
    </row>
    <row r="3" ht="16.5" customHeight="1">
      <c r="A3" s="131"/>
      <c r="B3" s="56" t="s">
        <v>73</v>
      </c>
      <c r="C3" s="56" t="s">
        <v>74</v>
      </c>
      <c r="D3" s="56" t="s">
        <v>100</v>
      </c>
      <c r="E3" s="56" t="s">
        <v>218</v>
      </c>
      <c r="F3" s="56" t="s">
        <v>219</v>
      </c>
      <c r="G3" s="128"/>
      <c r="H3" s="129"/>
      <c r="I3" s="4"/>
      <c r="J3" s="128"/>
      <c r="K3" s="4"/>
      <c r="L3" s="4"/>
      <c r="M3" s="4"/>
      <c r="N3" s="4"/>
      <c r="O3" s="4"/>
      <c r="P3" s="4"/>
      <c r="Q3" s="4"/>
      <c r="R3" s="4"/>
      <c r="S3" s="4"/>
      <c r="T3" s="4"/>
      <c r="U3" s="4"/>
      <c r="V3" s="4"/>
      <c r="W3" s="4"/>
      <c r="X3" s="4"/>
      <c r="Y3" s="4"/>
      <c r="Z3" s="4"/>
    </row>
    <row r="4" ht="16.5" customHeight="1">
      <c r="A4" s="132" t="s">
        <v>102</v>
      </c>
      <c r="B4" s="22">
        <v>17.0</v>
      </c>
      <c r="C4" s="22">
        <v>0.0</v>
      </c>
      <c r="D4" s="131">
        <f>COUNTIF(G11:G22,"Untested")</f>
        <v>0</v>
      </c>
      <c r="E4" s="133">
        <f>COUNTIF(G11:G22,"Blocked")</f>
        <v>0</v>
      </c>
      <c r="F4" s="131">
        <v>17.0</v>
      </c>
      <c r="G4" s="128"/>
      <c r="H4" s="129"/>
      <c r="I4" s="4"/>
      <c r="J4" s="128"/>
      <c r="K4" s="4"/>
      <c r="L4" s="4"/>
      <c r="M4" s="4"/>
      <c r="N4" s="4"/>
      <c r="O4" s="4"/>
      <c r="P4" s="4"/>
      <c r="Q4" s="4"/>
      <c r="R4" s="4"/>
      <c r="S4" s="4"/>
      <c r="T4" s="4"/>
      <c r="U4" s="4"/>
      <c r="V4" s="4"/>
      <c r="W4" s="4"/>
      <c r="X4" s="4"/>
      <c r="Y4" s="4"/>
      <c r="Z4" s="4"/>
    </row>
    <row r="5" ht="16.5" customHeight="1">
      <c r="A5" s="132" t="s">
        <v>103</v>
      </c>
      <c r="B5" s="22">
        <v>17.0</v>
      </c>
      <c r="C5" s="22">
        <v>0.0</v>
      </c>
      <c r="D5" s="131">
        <f>COUNTIF(J11:J22,"Untested")</f>
        <v>0</v>
      </c>
      <c r="E5" s="133">
        <f>COUNTIF(J11:J22,"Blocked")</f>
        <v>0</v>
      </c>
      <c r="F5" s="131">
        <f>B5</f>
        <v>17</v>
      </c>
      <c r="G5" s="128"/>
      <c r="H5" s="129"/>
      <c r="I5" s="4"/>
      <c r="J5" s="128"/>
      <c r="K5" s="4"/>
      <c r="L5" s="4"/>
      <c r="M5" s="4"/>
      <c r="N5" s="4"/>
      <c r="O5" s="4"/>
      <c r="P5" s="4"/>
      <c r="Q5" s="4"/>
      <c r="R5" s="4"/>
      <c r="S5" s="4"/>
      <c r="T5" s="4"/>
      <c r="U5" s="4"/>
      <c r="V5" s="4"/>
      <c r="W5" s="4"/>
      <c r="X5" s="4"/>
      <c r="Y5" s="4"/>
      <c r="Z5" s="4"/>
    </row>
    <row r="6" ht="409.5" customHeight="1">
      <c r="A6" s="134"/>
      <c r="B6" s="135"/>
      <c r="C6" s="4"/>
      <c r="D6" s="4"/>
      <c r="E6" s="123"/>
      <c r="F6" s="4"/>
      <c r="G6" s="128"/>
      <c r="H6" s="129"/>
      <c r="I6" s="4"/>
      <c r="J6" s="128"/>
      <c r="K6" s="4"/>
      <c r="L6" s="4"/>
      <c r="M6" s="4"/>
      <c r="N6" s="4"/>
      <c r="O6" s="4"/>
      <c r="P6" s="4"/>
      <c r="Q6" s="4"/>
      <c r="R6" s="4"/>
      <c r="S6" s="4"/>
      <c r="T6" s="4"/>
      <c r="U6" s="4"/>
      <c r="V6" s="4"/>
      <c r="W6" s="4"/>
      <c r="X6" s="4"/>
      <c r="Y6" s="4"/>
      <c r="Z6" s="4"/>
    </row>
    <row r="7" ht="16.5" customHeight="1">
      <c r="A7" s="136" t="s">
        <v>104</v>
      </c>
      <c r="B7" s="136" t="s">
        <v>7</v>
      </c>
      <c r="C7" s="136" t="s">
        <v>220</v>
      </c>
      <c r="D7" s="136" t="s">
        <v>221</v>
      </c>
      <c r="E7" s="136" t="s">
        <v>106</v>
      </c>
      <c r="F7" s="136" t="s">
        <v>107</v>
      </c>
      <c r="G7" s="137" t="s">
        <v>108</v>
      </c>
      <c r="H7" s="97"/>
      <c r="I7" s="98"/>
      <c r="J7" s="137" t="s">
        <v>108</v>
      </c>
      <c r="K7" s="97"/>
      <c r="L7" s="98"/>
      <c r="M7" s="136" t="s">
        <v>109</v>
      </c>
      <c r="N7" s="4"/>
      <c r="O7" s="4"/>
      <c r="P7" s="4"/>
      <c r="Q7" s="4"/>
      <c r="R7" s="4"/>
      <c r="S7" s="4"/>
      <c r="T7" s="4"/>
      <c r="U7" s="4"/>
      <c r="V7" s="4"/>
      <c r="W7" s="4"/>
      <c r="X7" s="4"/>
      <c r="Y7" s="4"/>
      <c r="Z7" s="4"/>
    </row>
    <row r="8" ht="16.5" customHeight="1">
      <c r="A8" s="21"/>
      <c r="B8" s="21"/>
      <c r="C8" s="21"/>
      <c r="D8" s="21"/>
      <c r="E8" s="21"/>
      <c r="F8" s="21"/>
      <c r="G8" s="137" t="s">
        <v>81</v>
      </c>
      <c r="H8" s="97"/>
      <c r="I8" s="98"/>
      <c r="J8" s="137" t="s">
        <v>82</v>
      </c>
      <c r="K8" s="97"/>
      <c r="L8" s="98"/>
      <c r="M8" s="21"/>
      <c r="N8" s="4"/>
      <c r="O8" s="4"/>
      <c r="P8" s="4"/>
      <c r="Q8" s="4"/>
      <c r="R8" s="4"/>
      <c r="S8" s="4"/>
      <c r="T8" s="4"/>
      <c r="U8" s="4"/>
      <c r="V8" s="4"/>
      <c r="W8" s="4"/>
      <c r="X8" s="4"/>
      <c r="Y8" s="4"/>
      <c r="Z8" s="4"/>
    </row>
    <row r="9" ht="16.5" customHeight="1">
      <c r="A9" s="23"/>
      <c r="B9" s="23"/>
      <c r="C9" s="23"/>
      <c r="D9" s="23"/>
      <c r="E9" s="23"/>
      <c r="F9" s="23"/>
      <c r="G9" s="138" t="s">
        <v>110</v>
      </c>
      <c r="H9" s="139" t="s">
        <v>111</v>
      </c>
      <c r="I9" s="56" t="s">
        <v>112</v>
      </c>
      <c r="J9" s="138" t="s">
        <v>110</v>
      </c>
      <c r="K9" s="139" t="s">
        <v>111</v>
      </c>
      <c r="L9" s="56" t="s">
        <v>112</v>
      </c>
      <c r="M9" s="23"/>
      <c r="N9" s="4"/>
      <c r="O9" s="4"/>
      <c r="P9" s="4"/>
      <c r="Q9" s="4"/>
      <c r="R9" s="4"/>
      <c r="S9" s="4"/>
      <c r="T9" s="4"/>
      <c r="U9" s="4"/>
      <c r="V9" s="4"/>
      <c r="W9" s="4"/>
      <c r="X9" s="4"/>
      <c r="Y9" s="4"/>
      <c r="Z9" s="4"/>
    </row>
    <row r="10" ht="16.5" customHeight="1">
      <c r="A10" s="140" t="s">
        <v>222</v>
      </c>
      <c r="B10" s="97"/>
      <c r="C10" s="97"/>
      <c r="D10" s="97"/>
      <c r="E10" s="97"/>
      <c r="F10" s="97"/>
      <c r="G10" s="97"/>
      <c r="H10" s="97"/>
      <c r="I10" s="97"/>
      <c r="J10" s="97"/>
      <c r="K10" s="97"/>
      <c r="L10" s="97"/>
      <c r="M10" s="98"/>
      <c r="N10" s="4"/>
      <c r="O10" s="4"/>
      <c r="P10" s="4"/>
      <c r="Q10" s="4"/>
      <c r="R10" s="4"/>
      <c r="S10" s="4"/>
      <c r="T10" s="4"/>
      <c r="U10" s="4"/>
      <c r="V10" s="4"/>
      <c r="W10" s="4"/>
      <c r="X10" s="4"/>
      <c r="Y10" s="4"/>
      <c r="Z10" s="4"/>
    </row>
    <row r="11" ht="16.5" customHeight="1">
      <c r="A11" s="125" t="s">
        <v>223</v>
      </c>
      <c r="B11" s="125" t="s">
        <v>224</v>
      </c>
      <c r="C11" s="141"/>
      <c r="D11" s="141"/>
      <c r="E11" s="114" t="s">
        <v>136</v>
      </c>
      <c r="F11" s="114" t="s">
        <v>136</v>
      </c>
      <c r="G11" s="17" t="s">
        <v>117</v>
      </c>
      <c r="H11" s="117">
        <v>45911.0</v>
      </c>
      <c r="I11" s="142" t="s">
        <v>121</v>
      </c>
      <c r="J11" s="17" t="s">
        <v>117</v>
      </c>
      <c r="K11" s="117" t="s">
        <v>120</v>
      </c>
      <c r="L11" s="142" t="s">
        <v>119</v>
      </c>
      <c r="M11" s="141"/>
      <c r="N11" s="4"/>
      <c r="O11" s="4"/>
      <c r="P11" s="4"/>
      <c r="Q11" s="4"/>
      <c r="R11" s="4"/>
      <c r="S11" s="4"/>
      <c r="T11" s="4"/>
      <c r="U11" s="4"/>
      <c r="V11" s="4"/>
      <c r="W11" s="4"/>
      <c r="X11" s="4"/>
      <c r="Y11" s="4"/>
      <c r="Z11" s="4"/>
    </row>
    <row r="12" ht="16.5" customHeight="1">
      <c r="A12" s="125" t="s">
        <v>225</v>
      </c>
      <c r="B12" s="125" t="s">
        <v>226</v>
      </c>
      <c r="C12" s="141"/>
      <c r="D12" s="141"/>
      <c r="E12" s="116" t="s">
        <v>116</v>
      </c>
      <c r="F12" s="116" t="s">
        <v>116</v>
      </c>
      <c r="G12" s="17" t="s">
        <v>117</v>
      </c>
      <c r="H12" s="117">
        <v>45911.0</v>
      </c>
      <c r="I12" s="142" t="s">
        <v>121</v>
      </c>
      <c r="J12" s="17" t="s">
        <v>117</v>
      </c>
      <c r="K12" s="117" t="s">
        <v>120</v>
      </c>
      <c r="L12" s="142" t="s">
        <v>119</v>
      </c>
      <c r="M12" s="141"/>
      <c r="N12" s="4"/>
      <c r="O12" s="4"/>
      <c r="P12" s="4"/>
      <c r="Q12" s="4"/>
      <c r="R12" s="4"/>
      <c r="S12" s="4"/>
      <c r="T12" s="4"/>
      <c r="U12" s="4"/>
      <c r="V12" s="4"/>
      <c r="W12" s="4"/>
      <c r="X12" s="4"/>
      <c r="Y12" s="4"/>
      <c r="Z12" s="4"/>
    </row>
    <row r="13" ht="16.5" customHeight="1">
      <c r="A13" s="125" t="s">
        <v>227</v>
      </c>
      <c r="B13" s="125" t="s">
        <v>228</v>
      </c>
      <c r="C13" s="141"/>
      <c r="D13" s="141"/>
      <c r="E13" s="116" t="s">
        <v>116</v>
      </c>
      <c r="F13" s="116" t="s">
        <v>116</v>
      </c>
      <c r="G13" s="17" t="s">
        <v>117</v>
      </c>
      <c r="H13" s="117">
        <v>45911.0</v>
      </c>
      <c r="I13" s="142" t="s">
        <v>121</v>
      </c>
      <c r="J13" s="17" t="s">
        <v>117</v>
      </c>
      <c r="K13" s="117" t="s">
        <v>120</v>
      </c>
      <c r="L13" s="142" t="s">
        <v>119</v>
      </c>
      <c r="M13" s="141"/>
      <c r="N13" s="4"/>
      <c r="O13" s="4"/>
      <c r="P13" s="4"/>
      <c r="Q13" s="4"/>
      <c r="R13" s="4"/>
      <c r="S13" s="4"/>
      <c r="T13" s="4"/>
      <c r="U13" s="4"/>
      <c r="V13" s="4"/>
      <c r="W13" s="4"/>
      <c r="X13" s="4"/>
      <c r="Y13" s="4"/>
      <c r="Z13" s="4"/>
    </row>
    <row r="14" ht="16.5" customHeight="1">
      <c r="A14" s="125" t="s">
        <v>229</v>
      </c>
      <c r="B14" s="125" t="s">
        <v>230</v>
      </c>
      <c r="C14" s="141"/>
      <c r="D14" s="141"/>
      <c r="E14" s="116" t="s">
        <v>116</v>
      </c>
      <c r="F14" s="116" t="s">
        <v>116</v>
      </c>
      <c r="G14" s="17" t="s">
        <v>117</v>
      </c>
      <c r="H14" s="117">
        <v>45911.0</v>
      </c>
      <c r="I14" s="142" t="s">
        <v>121</v>
      </c>
      <c r="J14" s="17" t="s">
        <v>117</v>
      </c>
      <c r="K14" s="117" t="s">
        <v>120</v>
      </c>
      <c r="L14" s="142" t="s">
        <v>119</v>
      </c>
      <c r="M14" s="141"/>
      <c r="N14" s="4"/>
      <c r="O14" s="4"/>
      <c r="P14" s="4"/>
      <c r="Q14" s="4"/>
      <c r="R14" s="4"/>
      <c r="S14" s="4"/>
      <c r="T14" s="4"/>
      <c r="U14" s="4"/>
      <c r="V14" s="4"/>
      <c r="W14" s="4"/>
      <c r="X14" s="4"/>
      <c r="Y14" s="4"/>
      <c r="Z14" s="4"/>
    </row>
    <row r="15" ht="16.5" customHeight="1">
      <c r="A15" s="125" t="s">
        <v>231</v>
      </c>
      <c r="B15" s="125" t="s">
        <v>232</v>
      </c>
      <c r="C15" s="141"/>
      <c r="D15" s="141"/>
      <c r="E15" s="114" t="s">
        <v>233</v>
      </c>
      <c r="F15" s="114" t="s">
        <v>233</v>
      </c>
      <c r="G15" s="17" t="s">
        <v>117</v>
      </c>
      <c r="H15" s="117">
        <v>45911.0</v>
      </c>
      <c r="I15" s="142" t="s">
        <v>121</v>
      </c>
      <c r="J15" s="17" t="s">
        <v>117</v>
      </c>
      <c r="K15" s="117" t="s">
        <v>120</v>
      </c>
      <c r="L15" s="142" t="s">
        <v>119</v>
      </c>
      <c r="M15" s="141"/>
      <c r="N15" s="4"/>
      <c r="O15" s="4"/>
      <c r="P15" s="4"/>
      <c r="Q15" s="4"/>
      <c r="R15" s="4"/>
      <c r="S15" s="4"/>
      <c r="T15" s="4"/>
      <c r="U15" s="4"/>
      <c r="V15" s="4"/>
      <c r="W15" s="4"/>
      <c r="X15" s="4"/>
      <c r="Y15" s="4"/>
      <c r="Z15" s="4"/>
    </row>
    <row r="16" ht="16.5" customHeight="1">
      <c r="A16" s="125" t="s">
        <v>234</v>
      </c>
      <c r="B16" s="125" t="s">
        <v>235</v>
      </c>
      <c r="C16" s="141"/>
      <c r="D16" s="141"/>
      <c r="E16" s="116" t="s">
        <v>139</v>
      </c>
      <c r="F16" s="116" t="s">
        <v>139</v>
      </c>
      <c r="G16" s="17" t="s">
        <v>117</v>
      </c>
      <c r="H16" s="117">
        <v>45911.0</v>
      </c>
      <c r="I16" s="142" t="s">
        <v>121</v>
      </c>
      <c r="J16" s="17" t="s">
        <v>117</v>
      </c>
      <c r="K16" s="117" t="s">
        <v>120</v>
      </c>
      <c r="L16" s="142" t="s">
        <v>119</v>
      </c>
      <c r="M16" s="141"/>
      <c r="N16" s="4"/>
      <c r="O16" s="4"/>
      <c r="P16" s="4"/>
      <c r="Q16" s="4"/>
      <c r="R16" s="4"/>
      <c r="S16" s="4"/>
      <c r="T16" s="4"/>
      <c r="U16" s="4"/>
      <c r="V16" s="4"/>
      <c r="W16" s="4"/>
      <c r="X16" s="4"/>
      <c r="Y16" s="4"/>
      <c r="Z16" s="4"/>
    </row>
    <row r="17" ht="16.5" customHeight="1">
      <c r="A17" s="143" t="s">
        <v>236</v>
      </c>
      <c r="B17" s="97"/>
      <c r="C17" s="97"/>
      <c r="D17" s="97"/>
      <c r="E17" s="97"/>
      <c r="F17" s="97"/>
      <c r="G17" s="97"/>
      <c r="H17" s="97"/>
      <c r="I17" s="97"/>
      <c r="J17" s="97"/>
      <c r="K17" s="97"/>
      <c r="L17" s="97"/>
      <c r="M17" s="98"/>
      <c r="N17" s="4"/>
      <c r="O17" s="4"/>
      <c r="P17" s="4"/>
      <c r="Q17" s="4"/>
      <c r="R17" s="4"/>
      <c r="S17" s="4"/>
      <c r="T17" s="4"/>
      <c r="U17" s="4"/>
      <c r="V17" s="4"/>
      <c r="W17" s="4"/>
      <c r="X17" s="4"/>
      <c r="Y17" s="4"/>
      <c r="Z17" s="4"/>
    </row>
    <row r="18" ht="16.5" customHeight="1">
      <c r="A18" s="125" t="s">
        <v>237</v>
      </c>
      <c r="B18" s="125" t="s">
        <v>238</v>
      </c>
      <c r="C18" s="125" t="s">
        <v>239</v>
      </c>
      <c r="D18" s="144" t="s">
        <v>240</v>
      </c>
      <c r="E18" s="119" t="s">
        <v>241</v>
      </c>
      <c r="F18" s="119" t="s">
        <v>241</v>
      </c>
      <c r="G18" s="17" t="s">
        <v>117</v>
      </c>
      <c r="H18" s="117">
        <v>45911.0</v>
      </c>
      <c r="I18" s="142" t="s">
        <v>121</v>
      </c>
      <c r="J18" s="17" t="s">
        <v>117</v>
      </c>
      <c r="K18" s="117" t="s">
        <v>120</v>
      </c>
      <c r="L18" s="142" t="s">
        <v>119</v>
      </c>
      <c r="M18" s="141"/>
      <c r="N18" s="4"/>
      <c r="O18" s="4"/>
      <c r="P18" s="4"/>
      <c r="Q18" s="4"/>
      <c r="R18" s="4"/>
      <c r="S18" s="4"/>
      <c r="T18" s="4"/>
      <c r="U18" s="4"/>
      <c r="V18" s="4"/>
      <c r="W18" s="4"/>
      <c r="X18" s="4"/>
      <c r="Y18" s="4"/>
      <c r="Z18" s="4"/>
    </row>
    <row r="19" ht="16.5" customHeight="1">
      <c r="A19" s="125" t="s">
        <v>242</v>
      </c>
      <c r="B19" s="125" t="s">
        <v>243</v>
      </c>
      <c r="C19" s="125" t="s">
        <v>244</v>
      </c>
      <c r="D19" s="144" t="s">
        <v>240</v>
      </c>
      <c r="E19" s="119" t="s">
        <v>245</v>
      </c>
      <c r="F19" s="119" t="s">
        <v>245</v>
      </c>
      <c r="G19" s="17" t="s">
        <v>117</v>
      </c>
      <c r="H19" s="117">
        <v>45911.0</v>
      </c>
      <c r="I19" s="142" t="s">
        <v>121</v>
      </c>
      <c r="J19" s="17" t="s">
        <v>117</v>
      </c>
      <c r="K19" s="117" t="s">
        <v>120</v>
      </c>
      <c r="L19" s="142" t="s">
        <v>119</v>
      </c>
      <c r="M19" s="141"/>
      <c r="N19" s="4"/>
      <c r="O19" s="4"/>
      <c r="P19" s="4"/>
      <c r="Q19" s="4"/>
      <c r="R19" s="4"/>
      <c r="S19" s="4"/>
      <c r="T19" s="4"/>
      <c r="U19" s="4"/>
      <c r="V19" s="4"/>
      <c r="W19" s="4"/>
      <c r="X19" s="4"/>
      <c r="Y19" s="4"/>
      <c r="Z19" s="4"/>
    </row>
    <row r="20" ht="16.5" customHeight="1">
      <c r="A20" s="125" t="s">
        <v>246</v>
      </c>
      <c r="B20" s="125" t="s">
        <v>247</v>
      </c>
      <c r="C20" s="125" t="s">
        <v>248</v>
      </c>
      <c r="D20" s="144" t="s">
        <v>240</v>
      </c>
      <c r="E20" s="119" t="s">
        <v>249</v>
      </c>
      <c r="F20" s="119" t="s">
        <v>249</v>
      </c>
      <c r="G20" s="17" t="s">
        <v>117</v>
      </c>
      <c r="H20" s="117">
        <v>45911.0</v>
      </c>
      <c r="I20" s="142" t="s">
        <v>121</v>
      </c>
      <c r="J20" s="17" t="s">
        <v>117</v>
      </c>
      <c r="K20" s="117" t="s">
        <v>120</v>
      </c>
      <c r="L20" s="142" t="s">
        <v>119</v>
      </c>
      <c r="M20" s="141"/>
      <c r="N20" s="4"/>
      <c r="O20" s="4"/>
      <c r="P20" s="4"/>
      <c r="Q20" s="4"/>
      <c r="R20" s="4"/>
      <c r="S20" s="4"/>
      <c r="T20" s="4"/>
      <c r="U20" s="4"/>
      <c r="V20" s="4"/>
      <c r="W20" s="4"/>
      <c r="X20" s="4"/>
      <c r="Y20" s="4"/>
      <c r="Z20" s="4"/>
    </row>
    <row r="21" ht="16.5" customHeight="1">
      <c r="A21" s="125" t="s">
        <v>250</v>
      </c>
      <c r="B21" s="125" t="s">
        <v>251</v>
      </c>
      <c r="C21" s="125" t="s">
        <v>252</v>
      </c>
      <c r="D21" s="144" t="s">
        <v>240</v>
      </c>
      <c r="E21" s="119" t="s">
        <v>253</v>
      </c>
      <c r="F21" s="119" t="s">
        <v>253</v>
      </c>
      <c r="G21" s="17" t="s">
        <v>117</v>
      </c>
      <c r="H21" s="117">
        <v>45911.0</v>
      </c>
      <c r="I21" s="142" t="s">
        <v>121</v>
      </c>
      <c r="J21" s="17" t="s">
        <v>117</v>
      </c>
      <c r="K21" s="117" t="s">
        <v>120</v>
      </c>
      <c r="L21" s="142" t="s">
        <v>119</v>
      </c>
      <c r="M21" s="141"/>
      <c r="N21" s="4"/>
      <c r="O21" s="4"/>
      <c r="P21" s="4"/>
      <c r="Q21" s="4"/>
      <c r="R21" s="4"/>
      <c r="S21" s="4"/>
      <c r="T21" s="4"/>
      <c r="U21" s="4"/>
      <c r="V21" s="4"/>
      <c r="W21" s="4"/>
      <c r="X21" s="4"/>
      <c r="Y21" s="4"/>
      <c r="Z21" s="4"/>
    </row>
    <row r="22" ht="16.5" customHeight="1">
      <c r="A22" s="125" t="s">
        <v>254</v>
      </c>
      <c r="B22" s="125" t="s">
        <v>255</v>
      </c>
      <c r="C22" s="125" t="s">
        <v>256</v>
      </c>
      <c r="D22" s="144" t="s">
        <v>240</v>
      </c>
      <c r="E22" s="119" t="s">
        <v>257</v>
      </c>
      <c r="F22" s="119" t="s">
        <v>257</v>
      </c>
      <c r="G22" s="17" t="s">
        <v>117</v>
      </c>
      <c r="H22" s="117">
        <v>45911.0</v>
      </c>
      <c r="I22" s="142" t="s">
        <v>121</v>
      </c>
      <c r="J22" s="17" t="s">
        <v>117</v>
      </c>
      <c r="K22" s="117" t="s">
        <v>120</v>
      </c>
      <c r="L22" s="142" t="s">
        <v>119</v>
      </c>
      <c r="M22" s="141"/>
      <c r="N22" s="4"/>
      <c r="O22" s="4"/>
      <c r="P22" s="4"/>
      <c r="Q22" s="4"/>
      <c r="R22" s="4"/>
      <c r="S22" s="4"/>
      <c r="T22" s="4"/>
      <c r="U22" s="4"/>
      <c r="V22" s="4"/>
      <c r="W22" s="4"/>
      <c r="X22" s="4"/>
      <c r="Y22" s="4"/>
      <c r="Z22" s="4"/>
    </row>
    <row r="23" ht="16.5" customHeight="1">
      <c r="A23" s="125" t="s">
        <v>258</v>
      </c>
      <c r="B23" s="125" t="s">
        <v>259</v>
      </c>
      <c r="C23" s="125" t="s">
        <v>260</v>
      </c>
      <c r="D23" s="144" t="s">
        <v>240</v>
      </c>
      <c r="E23" s="119" t="s">
        <v>261</v>
      </c>
      <c r="F23" s="119" t="s">
        <v>261</v>
      </c>
      <c r="G23" s="17" t="s">
        <v>117</v>
      </c>
      <c r="H23" s="117">
        <v>45911.0</v>
      </c>
      <c r="I23" s="142" t="s">
        <v>121</v>
      </c>
      <c r="J23" s="17" t="s">
        <v>117</v>
      </c>
      <c r="K23" s="117" t="s">
        <v>120</v>
      </c>
      <c r="L23" s="142" t="s">
        <v>119</v>
      </c>
      <c r="M23" s="141"/>
      <c r="N23" s="4"/>
      <c r="O23" s="4"/>
      <c r="P23" s="4"/>
      <c r="Q23" s="4"/>
      <c r="R23" s="4"/>
      <c r="S23" s="4"/>
      <c r="T23" s="4"/>
      <c r="U23" s="4"/>
      <c r="V23" s="4"/>
      <c r="W23" s="4"/>
      <c r="X23" s="4"/>
      <c r="Y23" s="4"/>
      <c r="Z23" s="4"/>
    </row>
    <row r="24" ht="16.5" customHeight="1">
      <c r="A24" s="125" t="s">
        <v>262</v>
      </c>
      <c r="B24" s="125" t="s">
        <v>263</v>
      </c>
      <c r="C24" s="125" t="s">
        <v>264</v>
      </c>
      <c r="D24" s="144" t="s">
        <v>240</v>
      </c>
      <c r="E24" s="119" t="s">
        <v>265</v>
      </c>
      <c r="F24" s="119" t="s">
        <v>265</v>
      </c>
      <c r="G24" s="17" t="s">
        <v>117</v>
      </c>
      <c r="H24" s="117">
        <v>45911.0</v>
      </c>
      <c r="I24" s="142" t="s">
        <v>121</v>
      </c>
      <c r="J24" s="17" t="s">
        <v>117</v>
      </c>
      <c r="K24" s="117" t="s">
        <v>120</v>
      </c>
      <c r="L24" s="142" t="s">
        <v>119</v>
      </c>
      <c r="M24" s="141"/>
      <c r="N24" s="4"/>
      <c r="O24" s="4"/>
      <c r="P24" s="4"/>
      <c r="Q24" s="4"/>
      <c r="R24" s="4"/>
      <c r="S24" s="4"/>
      <c r="T24" s="4"/>
      <c r="U24" s="4"/>
      <c r="V24" s="4"/>
      <c r="W24" s="4"/>
      <c r="X24" s="4"/>
      <c r="Y24" s="4"/>
      <c r="Z24" s="4"/>
    </row>
    <row r="25" ht="16.5" customHeight="1">
      <c r="A25" s="125" t="s">
        <v>266</v>
      </c>
      <c r="B25" s="125" t="s">
        <v>267</v>
      </c>
      <c r="C25" s="125" t="s">
        <v>268</v>
      </c>
      <c r="D25" s="144" t="s">
        <v>240</v>
      </c>
      <c r="E25" s="119" t="s">
        <v>269</v>
      </c>
      <c r="F25" s="119" t="s">
        <v>270</v>
      </c>
      <c r="G25" s="17" t="s">
        <v>117</v>
      </c>
      <c r="H25" s="117">
        <v>45911.0</v>
      </c>
      <c r="I25" s="142" t="s">
        <v>121</v>
      </c>
      <c r="J25" s="17" t="s">
        <v>117</v>
      </c>
      <c r="K25" s="117" t="s">
        <v>120</v>
      </c>
      <c r="L25" s="142" t="s">
        <v>119</v>
      </c>
      <c r="M25" s="141"/>
      <c r="N25" s="4"/>
      <c r="O25" s="4"/>
      <c r="P25" s="4"/>
      <c r="Q25" s="4"/>
      <c r="R25" s="4"/>
      <c r="S25" s="4"/>
      <c r="T25" s="4"/>
      <c r="U25" s="4"/>
      <c r="V25" s="4"/>
      <c r="W25" s="4"/>
      <c r="X25" s="4"/>
      <c r="Y25" s="4"/>
      <c r="Z25" s="4"/>
    </row>
    <row r="26" ht="16.5" customHeight="1">
      <c r="A26" s="125" t="s">
        <v>271</v>
      </c>
      <c r="B26" s="125" t="s">
        <v>272</v>
      </c>
      <c r="C26" s="125" t="s">
        <v>273</v>
      </c>
      <c r="D26" s="144" t="s">
        <v>240</v>
      </c>
      <c r="E26" s="119" t="s">
        <v>274</v>
      </c>
      <c r="F26" s="119" t="s">
        <v>274</v>
      </c>
      <c r="G26" s="17" t="s">
        <v>117</v>
      </c>
      <c r="H26" s="117">
        <v>45911.0</v>
      </c>
      <c r="I26" s="142" t="s">
        <v>121</v>
      </c>
      <c r="J26" s="17" t="s">
        <v>117</v>
      </c>
      <c r="K26" s="117" t="s">
        <v>120</v>
      </c>
      <c r="L26" s="142" t="s">
        <v>119</v>
      </c>
      <c r="M26" s="141"/>
      <c r="N26" s="4"/>
      <c r="O26" s="4"/>
      <c r="P26" s="4"/>
      <c r="Q26" s="4"/>
      <c r="R26" s="4"/>
      <c r="S26" s="4"/>
      <c r="T26" s="4"/>
      <c r="U26" s="4"/>
      <c r="V26" s="4"/>
      <c r="W26" s="4"/>
      <c r="X26" s="4"/>
      <c r="Y26" s="4"/>
      <c r="Z26" s="4"/>
    </row>
    <row r="27" ht="16.5" customHeight="1">
      <c r="A27" s="125" t="s">
        <v>275</v>
      </c>
      <c r="B27" s="125" t="s">
        <v>276</v>
      </c>
      <c r="C27" s="125" t="s">
        <v>277</v>
      </c>
      <c r="D27" s="144" t="s">
        <v>240</v>
      </c>
      <c r="E27" s="119" t="s">
        <v>278</v>
      </c>
      <c r="F27" s="119" t="s">
        <v>278</v>
      </c>
      <c r="G27" s="17" t="s">
        <v>117</v>
      </c>
      <c r="H27" s="117">
        <v>45911.0</v>
      </c>
      <c r="I27" s="142" t="s">
        <v>121</v>
      </c>
      <c r="J27" s="17" t="s">
        <v>117</v>
      </c>
      <c r="K27" s="117" t="s">
        <v>120</v>
      </c>
      <c r="L27" s="142" t="s">
        <v>119</v>
      </c>
      <c r="M27" s="141"/>
      <c r="N27" s="4"/>
      <c r="O27" s="4"/>
      <c r="P27" s="4"/>
      <c r="Q27" s="4"/>
      <c r="R27" s="4"/>
      <c r="S27" s="4"/>
      <c r="T27" s="4"/>
      <c r="U27" s="4"/>
      <c r="V27" s="4"/>
      <c r="W27" s="4"/>
      <c r="X27" s="4"/>
      <c r="Y27" s="4"/>
      <c r="Z27" s="4"/>
    </row>
    <row r="28" ht="16.5" customHeight="1">
      <c r="A28" s="125" t="s">
        <v>279</v>
      </c>
      <c r="B28" s="125" t="s">
        <v>280</v>
      </c>
      <c r="C28" s="125" t="s">
        <v>281</v>
      </c>
      <c r="D28" s="144" t="s">
        <v>240</v>
      </c>
      <c r="E28" s="119" t="s">
        <v>278</v>
      </c>
      <c r="F28" s="119" t="s">
        <v>278</v>
      </c>
      <c r="G28" s="17" t="s">
        <v>117</v>
      </c>
      <c r="H28" s="117">
        <v>45911.0</v>
      </c>
      <c r="I28" s="142" t="s">
        <v>121</v>
      </c>
      <c r="J28" s="17" t="s">
        <v>117</v>
      </c>
      <c r="K28" s="117" t="s">
        <v>120</v>
      </c>
      <c r="L28" s="142" t="s">
        <v>119</v>
      </c>
      <c r="M28" s="141"/>
      <c r="N28" s="4"/>
      <c r="O28" s="4"/>
      <c r="P28" s="4"/>
      <c r="Q28" s="4"/>
      <c r="R28" s="4"/>
      <c r="S28" s="4"/>
      <c r="T28" s="4"/>
      <c r="U28" s="4"/>
      <c r="V28" s="4"/>
      <c r="W28" s="4"/>
      <c r="X28" s="4"/>
      <c r="Y28" s="4"/>
      <c r="Z28" s="4"/>
    </row>
    <row r="29" ht="16.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6.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6.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F7:F9"/>
    <mergeCell ref="G7:I7"/>
    <mergeCell ref="J7:L7"/>
    <mergeCell ref="M7:M9"/>
    <mergeCell ref="G8:I8"/>
    <mergeCell ref="J8:L8"/>
    <mergeCell ref="A10:M10"/>
    <mergeCell ref="A17:M17"/>
    <mergeCell ref="B1:F1"/>
    <mergeCell ref="B2:F2"/>
    <mergeCell ref="A7:A9"/>
    <mergeCell ref="B7:B9"/>
    <mergeCell ref="C7:C9"/>
    <mergeCell ref="D7:D9"/>
    <mergeCell ref="E7:E9"/>
  </mergeCells>
  <dataValidations>
    <dataValidation type="list" allowBlank="1" showErrorMessage="1" sqref="G11:G16 J11:J16 G18:G28 J18:J28">
      <formula1>"Passed,Untested,Failed,Blocked"</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5.71"/>
    <col customWidth="1" min="2" max="2" width="43.29"/>
    <col customWidth="1" min="3" max="3" width="52.43"/>
    <col customWidth="1" min="4" max="4" width="47.57"/>
    <col customWidth="1" min="5" max="5" width="56.43"/>
    <col customWidth="1" min="6" max="6" width="26.71"/>
    <col customWidth="1" min="7" max="7" width="12.14"/>
    <col customWidth="1" min="8" max="8" width="13.0"/>
    <col customWidth="1" min="9" max="9" width="12.57"/>
    <col customWidth="1" min="10" max="10" width="12.14"/>
    <col customWidth="1" min="11" max="11" width="14.29"/>
    <col customWidth="1" min="12" max="12" width="11.29"/>
    <col customWidth="1" min="13" max="26" width="9.14"/>
  </cols>
  <sheetData>
    <row r="1" ht="15.75" customHeight="1">
      <c r="A1" s="95" t="s">
        <v>98</v>
      </c>
      <c r="B1" s="96" t="s">
        <v>2</v>
      </c>
      <c r="C1" s="97"/>
      <c r="D1" s="97"/>
      <c r="E1" s="97"/>
      <c r="F1" s="98"/>
    </row>
    <row r="2" ht="15.75" customHeight="1">
      <c r="A2" s="95" t="s">
        <v>99</v>
      </c>
      <c r="B2" s="99" t="s">
        <v>14</v>
      </c>
      <c r="C2" s="97"/>
      <c r="D2" s="97"/>
      <c r="E2" s="97"/>
      <c r="F2" s="98"/>
    </row>
    <row r="3">
      <c r="A3" s="100"/>
      <c r="B3" s="101" t="s">
        <v>73</v>
      </c>
      <c r="C3" s="101" t="s">
        <v>74</v>
      </c>
      <c r="D3" s="101" t="s">
        <v>100</v>
      </c>
      <c r="E3" s="102" t="s">
        <v>76</v>
      </c>
      <c r="F3" s="101" t="s">
        <v>101</v>
      </c>
    </row>
    <row r="4">
      <c r="A4" s="51" t="s">
        <v>102</v>
      </c>
      <c r="B4" s="100">
        <v>22.0</v>
      </c>
      <c r="C4" s="100">
        <v>0.0</v>
      </c>
      <c r="D4" s="100">
        <v>0.0</v>
      </c>
      <c r="E4" s="100">
        <v>0.0</v>
      </c>
      <c r="F4" s="100">
        <f t="shared" ref="F4:F5" si="1">B4</f>
        <v>22</v>
      </c>
    </row>
    <row r="5">
      <c r="A5" s="51" t="s">
        <v>103</v>
      </c>
      <c r="B5" s="100">
        <v>22.0</v>
      </c>
      <c r="C5" s="100">
        <v>0.0</v>
      </c>
      <c r="D5" s="100">
        <v>0.0</v>
      </c>
      <c r="E5" s="103">
        <v>0.0</v>
      </c>
      <c r="F5" s="100">
        <f t="shared" si="1"/>
        <v>22</v>
      </c>
    </row>
    <row r="6" ht="198.0" customHeight="1">
      <c r="A6" s="106"/>
    </row>
    <row r="7" ht="275.25" customHeight="1"/>
    <row r="8" hidden="1"/>
    <row r="9" hidden="1"/>
    <row r="10" hidden="1"/>
    <row r="11" hidden="1"/>
    <row r="12" hidden="1"/>
    <row r="13" hidden="1"/>
    <row r="14" hidden="1"/>
    <row r="15" hidden="1"/>
    <row r="16" hidden="1"/>
    <row r="17" hidden="1"/>
    <row r="18" hidden="1"/>
    <row r="19" hidden="1"/>
    <row r="20" hidden="1"/>
    <row r="21" ht="15.75" hidden="1" customHeight="1"/>
    <row r="22" ht="15.75" hidden="1" customHeight="1"/>
    <row r="23" ht="15.75" hidden="1" customHeight="1"/>
    <row r="24" ht="15.75" hidden="1" customHeight="1"/>
    <row r="25" ht="15.75" hidden="1" customHeight="1"/>
    <row r="26" ht="15.75" hidden="1" customHeight="1"/>
    <row r="27" ht="15.75" hidden="1" customHeight="1"/>
    <row r="28" ht="15.75" hidden="1" customHeight="1"/>
    <row r="29" ht="15.75" hidden="1" customHeight="1"/>
    <row r="30" ht="15.75" hidden="1" customHeight="1"/>
    <row r="31" ht="15.75" customHeight="1">
      <c r="A31" s="145" t="s">
        <v>104</v>
      </c>
      <c r="B31" s="145" t="s">
        <v>7</v>
      </c>
      <c r="C31" s="145" t="s">
        <v>105</v>
      </c>
      <c r="D31" s="145" t="s">
        <v>106</v>
      </c>
      <c r="E31" s="145" t="s">
        <v>107</v>
      </c>
      <c r="F31" s="146" t="s">
        <v>108</v>
      </c>
      <c r="G31" s="97"/>
      <c r="H31" s="97"/>
      <c r="I31" s="97"/>
      <c r="J31" s="97"/>
      <c r="K31" s="98"/>
      <c r="L31" s="145" t="s">
        <v>109</v>
      </c>
    </row>
    <row r="32" ht="15.75" customHeight="1">
      <c r="A32" s="21"/>
      <c r="B32" s="21"/>
      <c r="C32" s="21"/>
      <c r="D32" s="21"/>
      <c r="E32" s="21"/>
      <c r="F32" s="146" t="s">
        <v>81</v>
      </c>
      <c r="G32" s="97"/>
      <c r="H32" s="98"/>
      <c r="I32" s="146" t="s">
        <v>82</v>
      </c>
      <c r="J32" s="97"/>
      <c r="K32" s="98"/>
      <c r="L32" s="21"/>
    </row>
    <row r="33" ht="36.0" customHeight="1">
      <c r="A33" s="23"/>
      <c r="B33" s="23"/>
      <c r="C33" s="23"/>
      <c r="D33" s="23"/>
      <c r="E33" s="23"/>
      <c r="F33" s="147" t="s">
        <v>110</v>
      </c>
      <c r="G33" s="148" t="s">
        <v>111</v>
      </c>
      <c r="H33" s="147" t="s">
        <v>112</v>
      </c>
      <c r="I33" s="147" t="s">
        <v>110</v>
      </c>
      <c r="J33" s="147" t="s">
        <v>111</v>
      </c>
      <c r="K33" s="147" t="s">
        <v>112</v>
      </c>
      <c r="L33" s="23"/>
    </row>
    <row r="34" ht="15.75" customHeight="1">
      <c r="A34" s="149" t="s">
        <v>282</v>
      </c>
      <c r="B34" s="97"/>
      <c r="C34" s="97"/>
      <c r="D34" s="97"/>
      <c r="E34" s="97"/>
      <c r="F34" s="97"/>
      <c r="G34" s="97"/>
      <c r="H34" s="97"/>
      <c r="I34" s="97"/>
      <c r="J34" s="97"/>
      <c r="K34" s="97"/>
      <c r="L34" s="98"/>
    </row>
    <row r="35" ht="34.5" customHeight="1">
      <c r="A35" s="125" t="s">
        <v>283</v>
      </c>
      <c r="B35" s="125" t="s">
        <v>284</v>
      </c>
      <c r="C35" s="115"/>
      <c r="D35" s="116" t="s">
        <v>116</v>
      </c>
      <c r="E35" s="116" t="s">
        <v>116</v>
      </c>
      <c r="F35" s="22" t="s">
        <v>117</v>
      </c>
      <c r="G35" s="117">
        <v>45911.0</v>
      </c>
      <c r="H35" s="22" t="s">
        <v>121</v>
      </c>
      <c r="I35" s="22" t="s">
        <v>117</v>
      </c>
      <c r="J35" s="117" t="s">
        <v>120</v>
      </c>
      <c r="K35" s="142" t="s">
        <v>119</v>
      </c>
      <c r="L35" s="115"/>
    </row>
    <row r="36" ht="57.75" customHeight="1">
      <c r="A36" s="125" t="s">
        <v>285</v>
      </c>
      <c r="B36" s="125" t="s">
        <v>286</v>
      </c>
      <c r="C36" s="115"/>
      <c r="D36" s="114" t="s">
        <v>136</v>
      </c>
      <c r="E36" s="114" t="s">
        <v>136</v>
      </c>
      <c r="F36" s="22" t="s">
        <v>117</v>
      </c>
      <c r="G36" s="117">
        <v>45911.0</v>
      </c>
      <c r="H36" s="22" t="s">
        <v>121</v>
      </c>
      <c r="I36" s="22" t="s">
        <v>117</v>
      </c>
      <c r="J36" s="117" t="s">
        <v>120</v>
      </c>
      <c r="K36" s="142" t="s">
        <v>119</v>
      </c>
      <c r="L36" s="115"/>
    </row>
    <row r="37" ht="34.5" customHeight="1">
      <c r="A37" s="125" t="s">
        <v>287</v>
      </c>
      <c r="B37" s="125" t="s">
        <v>149</v>
      </c>
      <c r="C37" s="115"/>
      <c r="D37" s="116" t="s">
        <v>139</v>
      </c>
      <c r="E37" s="116" t="s">
        <v>139</v>
      </c>
      <c r="F37" s="22" t="s">
        <v>117</v>
      </c>
      <c r="G37" s="117">
        <v>45911.0</v>
      </c>
      <c r="H37" s="22" t="s">
        <v>121</v>
      </c>
      <c r="I37" s="22" t="s">
        <v>117</v>
      </c>
      <c r="J37" s="117" t="s">
        <v>120</v>
      </c>
      <c r="K37" s="142" t="s">
        <v>119</v>
      </c>
      <c r="L37" s="115"/>
    </row>
    <row r="38" ht="34.5" customHeight="1">
      <c r="A38" s="125" t="s">
        <v>288</v>
      </c>
      <c r="B38" s="125" t="s">
        <v>289</v>
      </c>
      <c r="C38" s="115"/>
      <c r="D38" s="116" t="s">
        <v>116</v>
      </c>
      <c r="E38" s="116" t="s">
        <v>116</v>
      </c>
      <c r="F38" s="22" t="s">
        <v>117</v>
      </c>
      <c r="G38" s="117">
        <v>45911.0</v>
      </c>
      <c r="H38" s="22" t="s">
        <v>121</v>
      </c>
      <c r="I38" s="22" t="s">
        <v>117</v>
      </c>
      <c r="J38" s="117" t="s">
        <v>120</v>
      </c>
      <c r="K38" s="142" t="s">
        <v>119</v>
      </c>
      <c r="L38" s="115"/>
    </row>
    <row r="39" ht="54.0" customHeight="1">
      <c r="A39" s="125" t="s">
        <v>290</v>
      </c>
      <c r="B39" s="125" t="s">
        <v>291</v>
      </c>
      <c r="C39" s="115"/>
      <c r="D39" s="114" t="s">
        <v>136</v>
      </c>
      <c r="E39" s="114" t="s">
        <v>136</v>
      </c>
      <c r="F39" s="22" t="s">
        <v>117</v>
      </c>
      <c r="G39" s="117">
        <v>45911.0</v>
      </c>
      <c r="H39" s="22" t="s">
        <v>121</v>
      </c>
      <c r="I39" s="22" t="s">
        <v>117</v>
      </c>
      <c r="J39" s="117" t="s">
        <v>120</v>
      </c>
      <c r="K39" s="142" t="s">
        <v>119</v>
      </c>
      <c r="L39" s="115"/>
    </row>
    <row r="40" ht="34.5" customHeight="1">
      <c r="A40" s="125" t="s">
        <v>292</v>
      </c>
      <c r="B40" s="125" t="s">
        <v>293</v>
      </c>
      <c r="C40" s="115"/>
      <c r="D40" s="116" t="s">
        <v>139</v>
      </c>
      <c r="E40" s="116" t="s">
        <v>139</v>
      </c>
      <c r="F40" s="22" t="s">
        <v>117</v>
      </c>
      <c r="G40" s="117">
        <v>45911.0</v>
      </c>
      <c r="H40" s="22" t="s">
        <v>121</v>
      </c>
      <c r="I40" s="22" t="s">
        <v>117</v>
      </c>
      <c r="J40" s="117" t="s">
        <v>120</v>
      </c>
      <c r="K40" s="142" t="s">
        <v>119</v>
      </c>
      <c r="L40" s="115"/>
      <c r="M40" s="121"/>
    </row>
    <row r="41" ht="34.5" customHeight="1">
      <c r="A41" s="125" t="s">
        <v>294</v>
      </c>
      <c r="B41" s="125" t="s">
        <v>295</v>
      </c>
      <c r="C41" s="115"/>
      <c r="D41" s="115" t="s">
        <v>296</v>
      </c>
      <c r="E41" s="115" t="s">
        <v>296</v>
      </c>
      <c r="F41" s="22" t="s">
        <v>117</v>
      </c>
      <c r="G41" s="117">
        <v>45911.0</v>
      </c>
      <c r="H41" s="22" t="s">
        <v>121</v>
      </c>
      <c r="I41" s="22" t="s">
        <v>117</v>
      </c>
      <c r="J41" s="117" t="s">
        <v>120</v>
      </c>
      <c r="K41" s="142" t="s">
        <v>119</v>
      </c>
      <c r="L41" s="115"/>
    </row>
    <row r="42" ht="34.5" customHeight="1">
      <c r="A42" s="125" t="s">
        <v>297</v>
      </c>
      <c r="B42" s="125" t="s">
        <v>298</v>
      </c>
      <c r="C42" s="115"/>
      <c r="D42" s="116" t="s">
        <v>116</v>
      </c>
      <c r="E42" s="116" t="s">
        <v>116</v>
      </c>
      <c r="F42" s="22" t="s">
        <v>117</v>
      </c>
      <c r="G42" s="117">
        <v>45911.0</v>
      </c>
      <c r="H42" s="22" t="s">
        <v>121</v>
      </c>
      <c r="I42" s="22" t="s">
        <v>117</v>
      </c>
      <c r="J42" s="117" t="s">
        <v>120</v>
      </c>
      <c r="K42" s="142" t="s">
        <v>119</v>
      </c>
      <c r="L42" s="115"/>
    </row>
    <row r="43" ht="47.25" customHeight="1">
      <c r="A43" s="125" t="s">
        <v>299</v>
      </c>
      <c r="B43" s="125" t="s">
        <v>300</v>
      </c>
      <c r="C43" s="115"/>
      <c r="D43" s="114" t="s">
        <v>136</v>
      </c>
      <c r="E43" s="114" t="s">
        <v>136</v>
      </c>
      <c r="F43" s="22" t="s">
        <v>117</v>
      </c>
      <c r="G43" s="117">
        <v>45911.0</v>
      </c>
      <c r="H43" s="22" t="s">
        <v>121</v>
      </c>
      <c r="I43" s="22" t="s">
        <v>117</v>
      </c>
      <c r="J43" s="117" t="s">
        <v>120</v>
      </c>
      <c r="K43" s="142" t="s">
        <v>119</v>
      </c>
      <c r="L43" s="115"/>
    </row>
    <row r="44" ht="15.75" customHeight="1">
      <c r="A44" s="125" t="s">
        <v>301</v>
      </c>
      <c r="B44" s="125" t="s">
        <v>293</v>
      </c>
      <c r="C44" s="115"/>
      <c r="D44" s="116" t="s">
        <v>139</v>
      </c>
      <c r="E44" s="116" t="s">
        <v>139</v>
      </c>
      <c r="F44" s="22" t="s">
        <v>117</v>
      </c>
      <c r="G44" s="117">
        <v>45911.0</v>
      </c>
      <c r="H44" s="22" t="s">
        <v>121</v>
      </c>
      <c r="I44" s="22" t="s">
        <v>117</v>
      </c>
      <c r="J44" s="117" t="s">
        <v>120</v>
      </c>
      <c r="K44" s="142" t="s">
        <v>119</v>
      </c>
      <c r="L44" s="115"/>
    </row>
    <row r="45" ht="15.75" customHeight="1">
      <c r="A45" s="143" t="s">
        <v>302</v>
      </c>
      <c r="B45" s="97"/>
      <c r="C45" s="97"/>
      <c r="D45" s="97"/>
      <c r="E45" s="97"/>
      <c r="F45" s="97"/>
      <c r="G45" s="97"/>
      <c r="H45" s="97"/>
      <c r="I45" s="97"/>
      <c r="J45" s="97"/>
      <c r="K45" s="97"/>
      <c r="L45" s="98"/>
      <c r="M45" s="123"/>
      <c r="N45" s="123"/>
      <c r="O45" s="123"/>
      <c r="P45" s="123"/>
      <c r="Q45" s="123"/>
      <c r="R45" s="123"/>
      <c r="S45" s="123"/>
      <c r="T45" s="123"/>
      <c r="U45" s="123"/>
      <c r="V45" s="123"/>
      <c r="W45" s="123"/>
      <c r="X45" s="123"/>
      <c r="Y45" s="123"/>
      <c r="Z45" s="123"/>
    </row>
    <row r="46" ht="15.75" customHeight="1">
      <c r="A46" s="125" t="s">
        <v>303</v>
      </c>
      <c r="B46" s="125" t="s">
        <v>304</v>
      </c>
      <c r="C46" s="125" t="s">
        <v>305</v>
      </c>
      <c r="D46" s="119" t="s">
        <v>186</v>
      </c>
      <c r="E46" s="119" t="s">
        <v>186</v>
      </c>
      <c r="F46" s="22" t="s">
        <v>117</v>
      </c>
      <c r="G46" s="117">
        <v>45911.0</v>
      </c>
      <c r="H46" s="22" t="s">
        <v>121</v>
      </c>
      <c r="I46" s="22" t="s">
        <v>117</v>
      </c>
      <c r="J46" s="117" t="s">
        <v>120</v>
      </c>
      <c r="K46" s="142" t="s">
        <v>119</v>
      </c>
      <c r="L46" s="115"/>
      <c r="M46" s="123"/>
      <c r="N46" s="123"/>
      <c r="O46" s="123"/>
      <c r="P46" s="123"/>
      <c r="Q46" s="123"/>
      <c r="R46" s="123"/>
      <c r="S46" s="123"/>
      <c r="T46" s="123"/>
      <c r="U46" s="123"/>
      <c r="V46" s="123"/>
      <c r="W46" s="123"/>
      <c r="X46" s="123"/>
      <c r="Y46" s="123"/>
      <c r="Z46" s="123"/>
    </row>
    <row r="47" ht="15.75" customHeight="1">
      <c r="A47" s="125" t="s">
        <v>306</v>
      </c>
      <c r="B47" s="125" t="s">
        <v>307</v>
      </c>
      <c r="C47" s="125" t="s">
        <v>308</v>
      </c>
      <c r="D47" s="115" t="s">
        <v>309</v>
      </c>
      <c r="E47" s="115" t="s">
        <v>309</v>
      </c>
      <c r="F47" s="22" t="s">
        <v>117</v>
      </c>
      <c r="G47" s="117">
        <v>45911.0</v>
      </c>
      <c r="H47" s="22" t="s">
        <v>121</v>
      </c>
      <c r="I47" s="22" t="s">
        <v>117</v>
      </c>
      <c r="J47" s="117" t="s">
        <v>120</v>
      </c>
      <c r="K47" s="142" t="s">
        <v>119</v>
      </c>
      <c r="L47" s="115"/>
      <c r="M47" s="123"/>
      <c r="N47" s="123"/>
      <c r="O47" s="123"/>
      <c r="P47" s="123"/>
      <c r="Q47" s="123"/>
      <c r="R47" s="123"/>
      <c r="S47" s="123"/>
      <c r="T47" s="123"/>
      <c r="U47" s="123"/>
      <c r="V47" s="123"/>
      <c r="W47" s="123"/>
      <c r="X47" s="123"/>
      <c r="Y47" s="123"/>
      <c r="Z47" s="123"/>
    </row>
    <row r="48" ht="15.75" customHeight="1">
      <c r="A48" s="125" t="s">
        <v>310</v>
      </c>
      <c r="B48" s="115" t="s">
        <v>200</v>
      </c>
      <c r="C48" s="125" t="s">
        <v>311</v>
      </c>
      <c r="D48" s="115" t="s">
        <v>312</v>
      </c>
      <c r="E48" s="115" t="s">
        <v>312</v>
      </c>
      <c r="F48" s="22" t="s">
        <v>117</v>
      </c>
      <c r="G48" s="117">
        <v>45911.0</v>
      </c>
      <c r="H48" s="22" t="s">
        <v>121</v>
      </c>
      <c r="I48" s="22" t="s">
        <v>117</v>
      </c>
      <c r="J48" s="117" t="s">
        <v>120</v>
      </c>
      <c r="K48" s="142" t="s">
        <v>119</v>
      </c>
      <c r="L48" s="115"/>
      <c r="M48" s="123"/>
      <c r="N48" s="123"/>
      <c r="O48" s="123"/>
      <c r="P48" s="123"/>
      <c r="Q48" s="123"/>
      <c r="R48" s="123"/>
      <c r="S48" s="123"/>
      <c r="T48" s="123"/>
      <c r="U48" s="123"/>
      <c r="V48" s="123"/>
      <c r="W48" s="123"/>
      <c r="X48" s="123"/>
      <c r="Y48" s="123"/>
      <c r="Z48" s="123"/>
    </row>
    <row r="49" ht="15.75" customHeight="1">
      <c r="A49" s="125" t="s">
        <v>313</v>
      </c>
      <c r="B49" s="115" t="s">
        <v>204</v>
      </c>
      <c r="C49" s="125" t="s">
        <v>314</v>
      </c>
      <c r="D49" s="119" t="s">
        <v>206</v>
      </c>
      <c r="E49" s="119" t="s">
        <v>206</v>
      </c>
      <c r="F49" s="22" t="s">
        <v>117</v>
      </c>
      <c r="G49" s="117">
        <v>45911.0</v>
      </c>
      <c r="H49" s="22" t="s">
        <v>121</v>
      </c>
      <c r="I49" s="22" t="s">
        <v>117</v>
      </c>
      <c r="J49" s="117" t="s">
        <v>120</v>
      </c>
      <c r="K49" s="142" t="s">
        <v>119</v>
      </c>
      <c r="L49" s="115"/>
      <c r="M49" s="123"/>
      <c r="N49" s="123"/>
      <c r="O49" s="123"/>
      <c r="P49" s="123"/>
      <c r="Q49" s="123"/>
      <c r="R49" s="123"/>
      <c r="S49" s="123"/>
      <c r="T49" s="123"/>
      <c r="U49" s="123"/>
      <c r="V49" s="123"/>
      <c r="W49" s="123"/>
      <c r="X49" s="123"/>
      <c r="Y49" s="123"/>
      <c r="Z49" s="123"/>
    </row>
    <row r="50" ht="15.75" customHeight="1">
      <c r="A50" s="125" t="s">
        <v>315</v>
      </c>
      <c r="B50" s="115" t="s">
        <v>208</v>
      </c>
      <c r="C50" s="125" t="s">
        <v>316</v>
      </c>
      <c r="D50" s="115" t="s">
        <v>312</v>
      </c>
      <c r="E50" s="115" t="s">
        <v>312</v>
      </c>
      <c r="F50" s="22" t="s">
        <v>117</v>
      </c>
      <c r="G50" s="117">
        <v>45911.0</v>
      </c>
      <c r="H50" s="22" t="s">
        <v>121</v>
      </c>
      <c r="I50" s="22" t="s">
        <v>117</v>
      </c>
      <c r="J50" s="117" t="s">
        <v>120</v>
      </c>
      <c r="K50" s="142" t="s">
        <v>119</v>
      </c>
      <c r="L50" s="115"/>
      <c r="M50" s="123"/>
      <c r="N50" s="123"/>
      <c r="O50" s="123"/>
      <c r="P50" s="123"/>
      <c r="Q50" s="123"/>
      <c r="R50" s="123"/>
      <c r="S50" s="123"/>
      <c r="T50" s="123"/>
      <c r="U50" s="123"/>
      <c r="V50" s="123"/>
      <c r="W50" s="123"/>
      <c r="X50" s="123"/>
      <c r="Y50" s="123"/>
      <c r="Z50" s="123"/>
    </row>
    <row r="51" ht="66.75" customHeight="1">
      <c r="A51" s="125" t="s">
        <v>317</v>
      </c>
      <c r="B51" s="115" t="s">
        <v>318</v>
      </c>
      <c r="C51" s="125" t="s">
        <v>319</v>
      </c>
      <c r="D51" s="115" t="s">
        <v>320</v>
      </c>
      <c r="E51" s="115" t="s">
        <v>320</v>
      </c>
      <c r="F51" s="22" t="s">
        <v>117</v>
      </c>
      <c r="G51" s="117">
        <v>45911.0</v>
      </c>
      <c r="H51" s="22" t="s">
        <v>121</v>
      </c>
      <c r="I51" s="22" t="s">
        <v>117</v>
      </c>
      <c r="J51" s="117" t="s">
        <v>120</v>
      </c>
      <c r="K51" s="142" t="s">
        <v>119</v>
      </c>
      <c r="L51" s="115"/>
    </row>
    <row r="52" ht="112.5" customHeight="1">
      <c r="A52" s="125" t="s">
        <v>321</v>
      </c>
      <c r="B52" s="115" t="s">
        <v>322</v>
      </c>
      <c r="C52" s="125" t="s">
        <v>323</v>
      </c>
      <c r="D52" s="119" t="s">
        <v>194</v>
      </c>
      <c r="E52" s="119" t="s">
        <v>194</v>
      </c>
      <c r="F52" s="22" t="s">
        <v>117</v>
      </c>
      <c r="G52" s="117">
        <v>45911.0</v>
      </c>
      <c r="H52" s="22" t="s">
        <v>121</v>
      </c>
      <c r="I52" s="22" t="s">
        <v>117</v>
      </c>
      <c r="J52" s="117" t="s">
        <v>120</v>
      </c>
      <c r="K52" s="142" t="s">
        <v>119</v>
      </c>
      <c r="L52" s="122"/>
    </row>
    <row r="53" ht="15.75" customHeight="1">
      <c r="A53" s="125" t="s">
        <v>324</v>
      </c>
      <c r="B53" s="115" t="s">
        <v>325</v>
      </c>
      <c r="C53" s="125" t="s">
        <v>326</v>
      </c>
      <c r="D53" s="119" t="s">
        <v>327</v>
      </c>
      <c r="E53" s="119" t="s">
        <v>327</v>
      </c>
      <c r="F53" s="22" t="s">
        <v>117</v>
      </c>
      <c r="G53" s="117">
        <v>45911.0</v>
      </c>
      <c r="H53" s="22" t="s">
        <v>121</v>
      </c>
      <c r="I53" s="22" t="s">
        <v>117</v>
      </c>
      <c r="J53" s="117" t="s">
        <v>120</v>
      </c>
      <c r="K53" s="142" t="s">
        <v>119</v>
      </c>
      <c r="L53" s="122"/>
    </row>
    <row r="54" ht="15.75" customHeight="1">
      <c r="A54" s="125" t="s">
        <v>328</v>
      </c>
      <c r="B54" s="115" t="s">
        <v>329</v>
      </c>
      <c r="C54" s="125" t="s">
        <v>330</v>
      </c>
      <c r="D54" s="119" t="s">
        <v>331</v>
      </c>
      <c r="E54" s="119" t="s">
        <v>331</v>
      </c>
      <c r="F54" s="22" t="s">
        <v>117</v>
      </c>
      <c r="G54" s="117">
        <v>45911.0</v>
      </c>
      <c r="H54" s="22" t="s">
        <v>121</v>
      </c>
      <c r="I54" s="22" t="s">
        <v>117</v>
      </c>
      <c r="J54" s="117" t="s">
        <v>120</v>
      </c>
      <c r="K54" s="142" t="s">
        <v>119</v>
      </c>
      <c r="L54" s="122"/>
    </row>
    <row r="55" ht="15.75" customHeight="1">
      <c r="A55" s="125" t="s">
        <v>332</v>
      </c>
      <c r="B55" s="115" t="s">
        <v>333</v>
      </c>
      <c r="C55" s="125" t="s">
        <v>334</v>
      </c>
      <c r="D55" s="119" t="s">
        <v>335</v>
      </c>
      <c r="E55" s="119" t="s">
        <v>335</v>
      </c>
      <c r="F55" s="22" t="s">
        <v>117</v>
      </c>
      <c r="G55" s="117">
        <v>45911.0</v>
      </c>
      <c r="H55" s="22" t="s">
        <v>121</v>
      </c>
      <c r="I55" s="22" t="s">
        <v>117</v>
      </c>
      <c r="J55" s="117" t="s">
        <v>120</v>
      </c>
      <c r="K55" s="142" t="s">
        <v>119</v>
      </c>
      <c r="L55" s="122"/>
    </row>
    <row r="56" ht="15.75" customHeight="1">
      <c r="A56" s="125" t="s">
        <v>336</v>
      </c>
      <c r="B56" s="115" t="s">
        <v>337</v>
      </c>
      <c r="C56" s="125" t="s">
        <v>338</v>
      </c>
      <c r="D56" s="119" t="s">
        <v>339</v>
      </c>
      <c r="E56" s="119" t="s">
        <v>339</v>
      </c>
      <c r="F56" s="22" t="s">
        <v>117</v>
      </c>
      <c r="G56" s="117">
        <v>45911.0</v>
      </c>
      <c r="H56" s="22" t="s">
        <v>121</v>
      </c>
      <c r="I56" s="22" t="s">
        <v>117</v>
      </c>
      <c r="J56" s="117" t="s">
        <v>120</v>
      </c>
      <c r="K56" s="142" t="s">
        <v>119</v>
      </c>
      <c r="L56" s="122"/>
    </row>
    <row r="57" ht="15.75" customHeight="1">
      <c r="A57" s="125" t="s">
        <v>340</v>
      </c>
      <c r="B57" s="115" t="s">
        <v>341</v>
      </c>
      <c r="C57" s="125" t="s">
        <v>342</v>
      </c>
      <c r="D57" s="119" t="s">
        <v>343</v>
      </c>
      <c r="E57" s="119" t="s">
        <v>343</v>
      </c>
      <c r="F57" s="22" t="s">
        <v>117</v>
      </c>
      <c r="G57" s="117">
        <v>45911.0</v>
      </c>
      <c r="H57" s="22" t="s">
        <v>121</v>
      </c>
      <c r="I57" s="22" t="s">
        <v>117</v>
      </c>
      <c r="J57" s="117" t="s">
        <v>120</v>
      </c>
      <c r="K57" s="142" t="s">
        <v>119</v>
      </c>
      <c r="L57" s="12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E31:E33"/>
    <mergeCell ref="F31:K31"/>
    <mergeCell ref="L31:L33"/>
    <mergeCell ref="F32:H32"/>
    <mergeCell ref="I32:K32"/>
    <mergeCell ref="A34:L34"/>
    <mergeCell ref="A45:L45"/>
    <mergeCell ref="B1:F1"/>
    <mergeCell ref="B2:F2"/>
    <mergeCell ref="A6:I7"/>
    <mergeCell ref="A31:A33"/>
    <mergeCell ref="B31:B33"/>
    <mergeCell ref="C31:C33"/>
    <mergeCell ref="D31:D33"/>
  </mergeCells>
  <dataValidations>
    <dataValidation type="list" allowBlank="1" showErrorMessage="1" sqref="F35:F44 I35:I44 F46:F57 I46:I57">
      <formula1>"Passed,Untested,Failed,Blocked"</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4.29"/>
    <col customWidth="1" min="2" max="2" width="41.29"/>
    <col customWidth="1" min="3" max="3" width="43.71"/>
    <col customWidth="1" min="4" max="5" width="42.57"/>
    <col customWidth="1" min="6" max="6" width="20.14"/>
    <col customWidth="1" min="7" max="7" width="13.43"/>
    <col customWidth="1" min="8" max="8" width="14.43"/>
    <col customWidth="1" min="9" max="9" width="8.71"/>
    <col customWidth="1" min="10" max="10" width="15.71"/>
    <col customWidth="1" min="11" max="26" width="8.71"/>
  </cols>
  <sheetData>
    <row r="1">
      <c r="A1" s="95" t="s">
        <v>98</v>
      </c>
      <c r="B1" s="96" t="s">
        <v>2</v>
      </c>
      <c r="C1" s="97"/>
      <c r="D1" s="97"/>
      <c r="E1" s="97"/>
      <c r="F1" s="98"/>
    </row>
    <row r="2">
      <c r="A2" s="95" t="s">
        <v>99</v>
      </c>
      <c r="B2" s="99" t="s">
        <v>16</v>
      </c>
      <c r="C2" s="97"/>
      <c r="D2" s="97"/>
      <c r="E2" s="97"/>
      <c r="F2" s="98"/>
    </row>
    <row r="3">
      <c r="A3" s="100"/>
      <c r="B3" s="101" t="s">
        <v>73</v>
      </c>
      <c r="C3" s="101" t="s">
        <v>74</v>
      </c>
      <c r="D3" s="101" t="s">
        <v>100</v>
      </c>
      <c r="E3" s="102" t="s">
        <v>76</v>
      </c>
      <c r="F3" s="101" t="s">
        <v>101</v>
      </c>
    </row>
    <row r="4">
      <c r="A4" s="51" t="s">
        <v>102</v>
      </c>
      <c r="B4" s="100">
        <v>25.0</v>
      </c>
      <c r="C4" s="100">
        <v>0.0</v>
      </c>
      <c r="D4" s="100">
        <v>0.0</v>
      </c>
      <c r="E4" s="100">
        <v>0.0</v>
      </c>
      <c r="F4" s="100">
        <f t="shared" ref="F4:F5" si="1">B4</f>
        <v>25</v>
      </c>
    </row>
    <row r="5">
      <c r="A5" s="51" t="s">
        <v>103</v>
      </c>
      <c r="B5" s="100">
        <v>25.0</v>
      </c>
      <c r="C5" s="100">
        <v>0.0</v>
      </c>
      <c r="D5" s="100">
        <v>0.0</v>
      </c>
      <c r="E5" s="103">
        <v>0.0</v>
      </c>
      <c r="F5" s="100">
        <f t="shared" si="1"/>
        <v>25</v>
      </c>
    </row>
    <row r="6">
      <c r="B6" s="104"/>
      <c r="C6" s="105"/>
      <c r="D6" s="104"/>
      <c r="E6" s="105"/>
      <c r="F6" s="106"/>
      <c r="H6" s="10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B30" s="107"/>
      <c r="C30" s="107"/>
      <c r="D30" s="107"/>
      <c r="E30" s="107"/>
      <c r="F30" s="107"/>
      <c r="G30" s="107"/>
    </row>
    <row r="31" ht="15.75" customHeight="1">
      <c r="A31" s="108" t="s">
        <v>104</v>
      </c>
      <c r="B31" s="108" t="s">
        <v>7</v>
      </c>
      <c r="C31" s="108" t="s">
        <v>105</v>
      </c>
      <c r="D31" s="108" t="s">
        <v>106</v>
      </c>
      <c r="E31" s="108" t="s">
        <v>107</v>
      </c>
      <c r="F31" s="109" t="s">
        <v>108</v>
      </c>
      <c r="G31" s="97"/>
      <c r="H31" s="97"/>
      <c r="I31" s="97"/>
      <c r="J31" s="97"/>
      <c r="K31" s="98"/>
      <c r="L31" s="110" t="s">
        <v>109</v>
      </c>
    </row>
    <row r="32" ht="15.75" customHeight="1">
      <c r="A32" s="21"/>
      <c r="B32" s="21"/>
      <c r="C32" s="21"/>
      <c r="D32" s="21"/>
      <c r="E32" s="21"/>
      <c r="F32" s="109" t="s">
        <v>81</v>
      </c>
      <c r="G32" s="97"/>
      <c r="H32" s="98"/>
      <c r="I32" s="109" t="s">
        <v>82</v>
      </c>
      <c r="J32" s="97"/>
      <c r="K32" s="98"/>
      <c r="L32" s="21"/>
    </row>
    <row r="33" ht="15.75" customHeight="1">
      <c r="A33" s="23"/>
      <c r="B33" s="23"/>
      <c r="C33" s="23"/>
      <c r="D33" s="23"/>
      <c r="E33" s="23"/>
      <c r="F33" s="111" t="s">
        <v>110</v>
      </c>
      <c r="G33" s="112" t="s">
        <v>111</v>
      </c>
      <c r="H33" s="111" t="s">
        <v>112</v>
      </c>
      <c r="I33" s="111" t="s">
        <v>110</v>
      </c>
      <c r="J33" s="111" t="s">
        <v>111</v>
      </c>
      <c r="K33" s="111" t="s">
        <v>112</v>
      </c>
      <c r="L33" s="23"/>
    </row>
    <row r="34" ht="15.75" customHeight="1">
      <c r="A34" s="113" t="s">
        <v>344</v>
      </c>
      <c r="B34" s="97"/>
      <c r="C34" s="97"/>
      <c r="D34" s="97"/>
      <c r="E34" s="97"/>
      <c r="F34" s="97"/>
      <c r="G34" s="97"/>
      <c r="H34" s="97"/>
      <c r="I34" s="97"/>
      <c r="J34" s="97"/>
      <c r="K34" s="97"/>
      <c r="L34" s="98"/>
    </row>
    <row r="35" ht="15.75" customHeight="1">
      <c r="A35" s="114" t="s">
        <v>345</v>
      </c>
      <c r="B35" s="119" t="s">
        <v>346</v>
      </c>
      <c r="C35" s="115"/>
      <c r="D35" s="116" t="s">
        <v>116</v>
      </c>
      <c r="E35" s="116" t="s">
        <v>116</v>
      </c>
      <c r="F35" s="22" t="s">
        <v>117</v>
      </c>
      <c r="G35" s="117" t="s">
        <v>347</v>
      </c>
      <c r="H35" s="22" t="s">
        <v>119</v>
      </c>
      <c r="I35" s="22" t="s">
        <v>117</v>
      </c>
      <c r="J35" s="117" t="s">
        <v>120</v>
      </c>
      <c r="K35" s="22" t="s">
        <v>348</v>
      </c>
      <c r="L35" s="118"/>
    </row>
    <row r="36" ht="15.75" customHeight="1">
      <c r="A36" s="114" t="s">
        <v>349</v>
      </c>
      <c r="B36" s="119" t="s">
        <v>350</v>
      </c>
      <c r="C36" s="115"/>
      <c r="D36" s="114" t="s">
        <v>351</v>
      </c>
      <c r="E36" s="114" t="s">
        <v>351</v>
      </c>
      <c r="F36" s="22" t="s">
        <v>117</v>
      </c>
      <c r="G36" s="117" t="s">
        <v>347</v>
      </c>
      <c r="H36" s="22" t="s">
        <v>119</v>
      </c>
      <c r="I36" s="22" t="s">
        <v>117</v>
      </c>
      <c r="J36" s="117" t="s">
        <v>120</v>
      </c>
      <c r="K36" s="22" t="s">
        <v>348</v>
      </c>
      <c r="L36" s="118"/>
    </row>
    <row r="37" ht="15.75" customHeight="1">
      <c r="A37" s="114" t="s">
        <v>352</v>
      </c>
      <c r="B37" s="119" t="s">
        <v>353</v>
      </c>
      <c r="C37" s="115"/>
      <c r="D37" s="114" t="s">
        <v>354</v>
      </c>
      <c r="E37" s="114" t="s">
        <v>354</v>
      </c>
      <c r="F37" s="22" t="s">
        <v>117</v>
      </c>
      <c r="G37" s="117" t="s">
        <v>347</v>
      </c>
      <c r="H37" s="22" t="s">
        <v>119</v>
      </c>
      <c r="I37" s="22" t="s">
        <v>117</v>
      </c>
      <c r="J37" s="117" t="s">
        <v>120</v>
      </c>
      <c r="K37" s="22" t="s">
        <v>348</v>
      </c>
      <c r="L37" s="118"/>
    </row>
    <row r="38" ht="15.75" customHeight="1">
      <c r="A38" s="114" t="s">
        <v>355</v>
      </c>
      <c r="B38" s="125" t="s">
        <v>356</v>
      </c>
      <c r="C38" s="115"/>
      <c r="D38" s="116" t="s">
        <v>116</v>
      </c>
      <c r="E38" s="116" t="s">
        <v>116</v>
      </c>
      <c r="F38" s="22" t="s">
        <v>117</v>
      </c>
      <c r="G38" s="117" t="s">
        <v>347</v>
      </c>
      <c r="H38" s="22" t="s">
        <v>119</v>
      </c>
      <c r="I38" s="22" t="s">
        <v>117</v>
      </c>
      <c r="J38" s="117" t="s">
        <v>120</v>
      </c>
      <c r="K38" s="22" t="s">
        <v>348</v>
      </c>
      <c r="L38" s="118"/>
    </row>
    <row r="39" ht="15.75" customHeight="1">
      <c r="A39" s="114" t="s">
        <v>357</v>
      </c>
      <c r="B39" s="125" t="s">
        <v>358</v>
      </c>
      <c r="C39" s="115"/>
      <c r="D39" s="116" t="s">
        <v>116</v>
      </c>
      <c r="E39" s="116" t="s">
        <v>116</v>
      </c>
      <c r="F39" s="22" t="s">
        <v>117</v>
      </c>
      <c r="G39" s="117" t="s">
        <v>347</v>
      </c>
      <c r="H39" s="22" t="s">
        <v>119</v>
      </c>
      <c r="I39" s="22" t="s">
        <v>117</v>
      </c>
      <c r="J39" s="117" t="s">
        <v>120</v>
      </c>
      <c r="K39" s="22" t="s">
        <v>348</v>
      </c>
      <c r="L39" s="118"/>
    </row>
    <row r="40" ht="15.75" customHeight="1">
      <c r="A40" s="114" t="s">
        <v>359</v>
      </c>
      <c r="B40" s="125" t="s">
        <v>360</v>
      </c>
      <c r="C40" s="115"/>
      <c r="D40" s="116" t="s">
        <v>116</v>
      </c>
      <c r="E40" s="116" t="s">
        <v>116</v>
      </c>
      <c r="F40" s="22" t="s">
        <v>117</v>
      </c>
      <c r="G40" s="117" t="s">
        <v>347</v>
      </c>
      <c r="H40" s="22" t="s">
        <v>119</v>
      </c>
      <c r="I40" s="22" t="s">
        <v>117</v>
      </c>
      <c r="J40" s="117" t="s">
        <v>120</v>
      </c>
      <c r="K40" s="22" t="s">
        <v>348</v>
      </c>
      <c r="L40" s="118"/>
    </row>
    <row r="41" ht="15.75" customHeight="1">
      <c r="A41" s="114" t="s">
        <v>361</v>
      </c>
      <c r="B41" s="119" t="s">
        <v>362</v>
      </c>
      <c r="C41" s="115"/>
      <c r="D41" s="114" t="s">
        <v>136</v>
      </c>
      <c r="E41" s="114" t="s">
        <v>136</v>
      </c>
      <c r="F41" s="22" t="s">
        <v>117</v>
      </c>
      <c r="G41" s="117" t="s">
        <v>347</v>
      </c>
      <c r="H41" s="22" t="s">
        <v>119</v>
      </c>
      <c r="I41" s="22" t="s">
        <v>117</v>
      </c>
      <c r="J41" s="117" t="s">
        <v>120</v>
      </c>
      <c r="K41" s="22" t="s">
        <v>348</v>
      </c>
      <c r="L41" s="118"/>
    </row>
    <row r="42" ht="15.75" customHeight="1">
      <c r="A42" s="114" t="s">
        <v>363</v>
      </c>
      <c r="B42" s="125" t="s">
        <v>364</v>
      </c>
      <c r="C42" s="115"/>
      <c r="D42" s="116" t="s">
        <v>116</v>
      </c>
      <c r="E42" s="116" t="s">
        <v>116</v>
      </c>
      <c r="F42" s="22" t="s">
        <v>117</v>
      </c>
      <c r="G42" s="117" t="s">
        <v>347</v>
      </c>
      <c r="H42" s="22" t="s">
        <v>119</v>
      </c>
      <c r="I42" s="22" t="s">
        <v>117</v>
      </c>
      <c r="J42" s="117" t="s">
        <v>120</v>
      </c>
      <c r="K42" s="22" t="s">
        <v>348</v>
      </c>
      <c r="L42" s="118"/>
    </row>
    <row r="43" ht="15.75" customHeight="1">
      <c r="A43" s="114" t="s">
        <v>365</v>
      </c>
      <c r="B43" s="125" t="s">
        <v>366</v>
      </c>
      <c r="C43" s="115"/>
      <c r="D43" s="116" t="s">
        <v>116</v>
      </c>
      <c r="E43" s="116" t="s">
        <v>116</v>
      </c>
      <c r="F43" s="22" t="s">
        <v>117</v>
      </c>
      <c r="G43" s="117" t="s">
        <v>347</v>
      </c>
      <c r="H43" s="22" t="s">
        <v>119</v>
      </c>
      <c r="I43" s="22" t="s">
        <v>117</v>
      </c>
      <c r="J43" s="117" t="s">
        <v>120</v>
      </c>
      <c r="K43" s="22" t="s">
        <v>348</v>
      </c>
      <c r="L43" s="118"/>
    </row>
    <row r="44" ht="15.75" customHeight="1">
      <c r="A44" s="114" t="s">
        <v>367</v>
      </c>
      <c r="B44" s="125" t="s">
        <v>368</v>
      </c>
      <c r="C44" s="115"/>
      <c r="D44" s="116" t="s">
        <v>116</v>
      </c>
      <c r="E44" s="116" t="s">
        <v>116</v>
      </c>
      <c r="F44" s="22" t="s">
        <v>117</v>
      </c>
      <c r="G44" s="117" t="s">
        <v>347</v>
      </c>
      <c r="H44" s="22" t="s">
        <v>119</v>
      </c>
      <c r="I44" s="22" t="s">
        <v>117</v>
      </c>
      <c r="J44" s="117" t="s">
        <v>120</v>
      </c>
      <c r="K44" s="22" t="s">
        <v>348</v>
      </c>
      <c r="L44" s="118"/>
    </row>
    <row r="45" ht="15.75" customHeight="1">
      <c r="A45" s="114" t="s">
        <v>369</v>
      </c>
      <c r="B45" s="119" t="s">
        <v>370</v>
      </c>
      <c r="C45" s="115"/>
      <c r="D45" s="114" t="s">
        <v>136</v>
      </c>
      <c r="E45" s="114" t="s">
        <v>136</v>
      </c>
      <c r="F45" s="22" t="s">
        <v>117</v>
      </c>
      <c r="G45" s="117" t="s">
        <v>347</v>
      </c>
      <c r="H45" s="22" t="s">
        <v>119</v>
      </c>
      <c r="I45" s="22" t="s">
        <v>117</v>
      </c>
      <c r="J45" s="117" t="s">
        <v>120</v>
      </c>
      <c r="K45" s="22" t="s">
        <v>348</v>
      </c>
      <c r="L45" s="118"/>
    </row>
    <row r="46" ht="15.75" customHeight="1">
      <c r="A46" s="124" t="s">
        <v>371</v>
      </c>
      <c r="B46" s="97"/>
      <c r="C46" s="97"/>
      <c r="D46" s="97"/>
      <c r="E46" s="97"/>
      <c r="F46" s="97"/>
      <c r="G46" s="97"/>
      <c r="H46" s="97"/>
      <c r="I46" s="97"/>
      <c r="J46" s="97"/>
      <c r="K46" s="97"/>
      <c r="L46" s="98"/>
    </row>
    <row r="47" ht="15.75" customHeight="1">
      <c r="A47" s="114" t="s">
        <v>372</v>
      </c>
      <c r="B47" s="114" t="s">
        <v>15</v>
      </c>
      <c r="C47" s="125" t="s">
        <v>373</v>
      </c>
      <c r="D47" s="119" t="s">
        <v>374</v>
      </c>
      <c r="E47" s="119" t="s">
        <v>374</v>
      </c>
      <c r="F47" s="22" t="s">
        <v>117</v>
      </c>
      <c r="G47" s="117" t="s">
        <v>347</v>
      </c>
      <c r="H47" s="22" t="s">
        <v>119</v>
      </c>
      <c r="I47" s="22" t="s">
        <v>117</v>
      </c>
      <c r="J47" s="117" t="s">
        <v>120</v>
      </c>
      <c r="K47" s="22" t="s">
        <v>348</v>
      </c>
      <c r="L47" s="115"/>
    </row>
    <row r="48" ht="15.75" customHeight="1">
      <c r="A48" s="114" t="s">
        <v>375</v>
      </c>
      <c r="B48" s="114" t="s">
        <v>376</v>
      </c>
      <c r="C48" s="125" t="s">
        <v>377</v>
      </c>
      <c r="D48" s="119" t="s">
        <v>378</v>
      </c>
      <c r="E48" s="119" t="s">
        <v>378</v>
      </c>
      <c r="F48" s="22" t="s">
        <v>117</v>
      </c>
      <c r="G48" s="117" t="s">
        <v>347</v>
      </c>
      <c r="H48" s="22" t="s">
        <v>119</v>
      </c>
      <c r="I48" s="22" t="s">
        <v>117</v>
      </c>
      <c r="J48" s="117" t="s">
        <v>120</v>
      </c>
      <c r="K48" s="22" t="s">
        <v>348</v>
      </c>
      <c r="L48" s="115"/>
    </row>
    <row r="49" ht="15.75" customHeight="1">
      <c r="A49" s="114" t="s">
        <v>379</v>
      </c>
      <c r="B49" s="114" t="s">
        <v>380</v>
      </c>
      <c r="C49" s="125" t="s">
        <v>381</v>
      </c>
      <c r="D49" s="119" t="s">
        <v>382</v>
      </c>
      <c r="E49" s="119" t="s">
        <v>382</v>
      </c>
      <c r="F49" s="22" t="s">
        <v>117</v>
      </c>
      <c r="G49" s="117" t="s">
        <v>347</v>
      </c>
      <c r="H49" s="22" t="s">
        <v>119</v>
      </c>
      <c r="I49" s="22" t="s">
        <v>117</v>
      </c>
      <c r="J49" s="117" t="s">
        <v>120</v>
      </c>
      <c r="K49" s="22" t="s">
        <v>348</v>
      </c>
      <c r="L49" s="115"/>
    </row>
    <row r="50" ht="15.75" customHeight="1">
      <c r="A50" s="114" t="s">
        <v>383</v>
      </c>
      <c r="B50" s="114" t="s">
        <v>384</v>
      </c>
      <c r="C50" s="125" t="s">
        <v>385</v>
      </c>
      <c r="D50" s="119" t="s">
        <v>382</v>
      </c>
      <c r="E50" s="119" t="s">
        <v>382</v>
      </c>
      <c r="F50" s="22" t="s">
        <v>117</v>
      </c>
      <c r="G50" s="117" t="s">
        <v>347</v>
      </c>
      <c r="H50" s="22" t="s">
        <v>119</v>
      </c>
      <c r="I50" s="22" t="s">
        <v>117</v>
      </c>
      <c r="J50" s="117" t="s">
        <v>120</v>
      </c>
      <c r="K50" s="22" t="s">
        <v>348</v>
      </c>
      <c r="L50" s="115"/>
    </row>
    <row r="51" ht="15.75" customHeight="1">
      <c r="A51" s="114" t="s">
        <v>386</v>
      </c>
      <c r="B51" s="114" t="s">
        <v>387</v>
      </c>
      <c r="C51" s="125" t="s">
        <v>388</v>
      </c>
      <c r="D51" s="119" t="s">
        <v>382</v>
      </c>
      <c r="E51" s="119" t="s">
        <v>382</v>
      </c>
      <c r="F51" s="22" t="s">
        <v>117</v>
      </c>
      <c r="G51" s="117" t="s">
        <v>347</v>
      </c>
      <c r="H51" s="22" t="s">
        <v>119</v>
      </c>
      <c r="I51" s="22" t="s">
        <v>117</v>
      </c>
      <c r="J51" s="117" t="s">
        <v>120</v>
      </c>
      <c r="K51" s="22" t="s">
        <v>348</v>
      </c>
      <c r="L51" s="115"/>
    </row>
    <row r="52" ht="15.75" customHeight="1">
      <c r="A52" s="114" t="s">
        <v>389</v>
      </c>
      <c r="B52" s="114" t="s">
        <v>390</v>
      </c>
      <c r="C52" s="125" t="s">
        <v>391</v>
      </c>
      <c r="D52" s="119" t="s">
        <v>392</v>
      </c>
      <c r="E52" s="119" t="s">
        <v>392</v>
      </c>
      <c r="F52" s="22" t="s">
        <v>117</v>
      </c>
      <c r="G52" s="117" t="s">
        <v>347</v>
      </c>
      <c r="H52" s="22" t="s">
        <v>119</v>
      </c>
      <c r="I52" s="22" t="s">
        <v>117</v>
      </c>
      <c r="J52" s="117" t="s">
        <v>120</v>
      </c>
      <c r="K52" s="22" t="s">
        <v>348</v>
      </c>
      <c r="L52" s="115"/>
    </row>
    <row r="53" ht="15.75" customHeight="1">
      <c r="A53" s="114" t="s">
        <v>393</v>
      </c>
      <c r="B53" s="114" t="s">
        <v>394</v>
      </c>
      <c r="C53" s="125" t="s">
        <v>395</v>
      </c>
      <c r="D53" s="119" t="s">
        <v>396</v>
      </c>
      <c r="E53" s="119" t="s">
        <v>396</v>
      </c>
      <c r="F53" s="22" t="s">
        <v>117</v>
      </c>
      <c r="G53" s="117" t="s">
        <v>347</v>
      </c>
      <c r="H53" s="22" t="s">
        <v>119</v>
      </c>
      <c r="I53" s="22" t="s">
        <v>117</v>
      </c>
      <c r="J53" s="117" t="s">
        <v>120</v>
      </c>
      <c r="K53" s="22" t="s">
        <v>348</v>
      </c>
      <c r="L53" s="115"/>
    </row>
    <row r="54" ht="15.75" customHeight="1">
      <c r="A54" s="114" t="s">
        <v>397</v>
      </c>
      <c r="B54" s="114" t="s">
        <v>398</v>
      </c>
      <c r="C54" s="125" t="s">
        <v>399</v>
      </c>
      <c r="D54" s="119" t="s">
        <v>400</v>
      </c>
      <c r="E54" s="119" t="s">
        <v>400</v>
      </c>
      <c r="F54" s="22" t="s">
        <v>117</v>
      </c>
      <c r="G54" s="117" t="s">
        <v>347</v>
      </c>
      <c r="H54" s="22" t="s">
        <v>119</v>
      </c>
      <c r="I54" s="22" t="s">
        <v>117</v>
      </c>
      <c r="J54" s="117" t="s">
        <v>120</v>
      </c>
      <c r="K54" s="22" t="s">
        <v>348</v>
      </c>
      <c r="L54" s="115"/>
    </row>
    <row r="55" ht="15.75" customHeight="1">
      <c r="A55" s="114" t="s">
        <v>401</v>
      </c>
      <c r="B55" s="114" t="s">
        <v>402</v>
      </c>
      <c r="C55" s="125" t="s">
        <v>403</v>
      </c>
      <c r="D55" s="119" t="s">
        <v>404</v>
      </c>
      <c r="E55" s="119" t="s">
        <v>404</v>
      </c>
      <c r="F55" s="22" t="s">
        <v>117</v>
      </c>
      <c r="G55" s="117" t="s">
        <v>347</v>
      </c>
      <c r="H55" s="22" t="s">
        <v>119</v>
      </c>
      <c r="I55" s="22" t="s">
        <v>117</v>
      </c>
      <c r="J55" s="117" t="s">
        <v>120</v>
      </c>
      <c r="K55" s="22" t="s">
        <v>348</v>
      </c>
      <c r="L55" s="115"/>
    </row>
    <row r="56" ht="15.75" customHeight="1">
      <c r="A56" s="114" t="s">
        <v>405</v>
      </c>
      <c r="B56" s="114" t="s">
        <v>406</v>
      </c>
      <c r="C56" s="125" t="s">
        <v>407</v>
      </c>
      <c r="D56" s="119" t="s">
        <v>408</v>
      </c>
      <c r="E56" s="119" t="s">
        <v>408</v>
      </c>
      <c r="F56" s="22" t="s">
        <v>117</v>
      </c>
      <c r="G56" s="117" t="s">
        <v>347</v>
      </c>
      <c r="H56" s="22" t="s">
        <v>119</v>
      </c>
      <c r="I56" s="22" t="s">
        <v>117</v>
      </c>
      <c r="J56" s="117" t="s">
        <v>120</v>
      </c>
      <c r="K56" s="22" t="s">
        <v>348</v>
      </c>
      <c r="L56" s="115"/>
    </row>
    <row r="57" ht="15.75" customHeight="1">
      <c r="A57" s="114" t="s">
        <v>409</v>
      </c>
      <c r="B57" s="114" t="s">
        <v>410</v>
      </c>
      <c r="C57" s="125" t="s">
        <v>411</v>
      </c>
      <c r="D57" s="119" t="s">
        <v>412</v>
      </c>
      <c r="E57" s="119" t="s">
        <v>412</v>
      </c>
      <c r="F57" s="22" t="s">
        <v>117</v>
      </c>
      <c r="G57" s="117" t="s">
        <v>347</v>
      </c>
      <c r="H57" s="22" t="s">
        <v>119</v>
      </c>
      <c r="I57" s="22" t="s">
        <v>117</v>
      </c>
      <c r="J57" s="117" t="s">
        <v>120</v>
      </c>
      <c r="K57" s="22" t="s">
        <v>348</v>
      </c>
      <c r="L57" s="115"/>
    </row>
    <row r="58" ht="15.75" customHeight="1">
      <c r="A58" s="114" t="s">
        <v>413</v>
      </c>
      <c r="B58" s="114" t="s">
        <v>414</v>
      </c>
      <c r="C58" s="125" t="s">
        <v>415</v>
      </c>
      <c r="D58" s="119" t="s">
        <v>416</v>
      </c>
      <c r="E58" s="119" t="s">
        <v>416</v>
      </c>
      <c r="F58" s="22" t="s">
        <v>117</v>
      </c>
      <c r="G58" s="117" t="s">
        <v>347</v>
      </c>
      <c r="H58" s="22" t="s">
        <v>119</v>
      </c>
      <c r="I58" s="22" t="s">
        <v>117</v>
      </c>
      <c r="J58" s="117" t="s">
        <v>120</v>
      </c>
      <c r="K58" s="22" t="s">
        <v>348</v>
      </c>
      <c r="L58" s="115"/>
    </row>
    <row r="59" ht="15.75" customHeight="1">
      <c r="A59" s="114" t="s">
        <v>417</v>
      </c>
      <c r="B59" s="114" t="s">
        <v>418</v>
      </c>
      <c r="C59" s="125" t="s">
        <v>419</v>
      </c>
      <c r="D59" s="119" t="s">
        <v>420</v>
      </c>
      <c r="E59" s="119" t="s">
        <v>420</v>
      </c>
      <c r="F59" s="22" t="s">
        <v>117</v>
      </c>
      <c r="G59" s="117" t="s">
        <v>347</v>
      </c>
      <c r="H59" s="22" t="s">
        <v>119</v>
      </c>
      <c r="I59" s="22" t="s">
        <v>117</v>
      </c>
      <c r="J59" s="117" t="s">
        <v>120</v>
      </c>
      <c r="K59" s="22" t="s">
        <v>348</v>
      </c>
      <c r="L59" s="115"/>
    </row>
    <row r="60" ht="15.75" customHeight="1">
      <c r="A60" s="114" t="s">
        <v>421</v>
      </c>
      <c r="B60" s="114" t="s">
        <v>422</v>
      </c>
      <c r="C60" s="125" t="s">
        <v>423</v>
      </c>
      <c r="D60" s="119" t="s">
        <v>424</v>
      </c>
      <c r="E60" s="119" t="s">
        <v>424</v>
      </c>
      <c r="F60" s="22" t="s">
        <v>117</v>
      </c>
      <c r="G60" s="117" t="s">
        <v>347</v>
      </c>
      <c r="H60" s="22" t="s">
        <v>119</v>
      </c>
      <c r="I60" s="22" t="s">
        <v>117</v>
      </c>
      <c r="J60" s="117" t="s">
        <v>120</v>
      </c>
      <c r="K60" s="22" t="s">
        <v>348</v>
      </c>
      <c r="L60" s="115"/>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31:B33"/>
    <mergeCell ref="C31:C33"/>
    <mergeCell ref="D31:D33"/>
    <mergeCell ref="E31:E33"/>
    <mergeCell ref="F31:K31"/>
    <mergeCell ref="L31:L33"/>
    <mergeCell ref="F32:H32"/>
    <mergeCell ref="I32:K32"/>
    <mergeCell ref="A46:L46"/>
    <mergeCell ref="B1:F1"/>
    <mergeCell ref="B2:F2"/>
    <mergeCell ref="B6:C30"/>
    <mergeCell ref="D6:E30"/>
    <mergeCell ref="F6:G30"/>
    <mergeCell ref="H6:R30"/>
    <mergeCell ref="A31:A33"/>
    <mergeCell ref="A34:L34"/>
  </mergeCells>
  <dataValidations>
    <dataValidation type="list" allowBlank="1" showErrorMessage="1" sqref="F35:F45 I35:I45 F47:F60 I47:I60">
      <formula1>"Passed,Untested,Failed,Blocked"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16.29"/>
    <col customWidth="1" min="2" max="2" width="42.14"/>
    <col customWidth="1" min="3" max="3" width="45.0"/>
    <col customWidth="1" min="4" max="4" width="58.57"/>
    <col customWidth="1" min="5" max="6" width="38.57"/>
    <col customWidth="1" min="7" max="7" width="12.14"/>
    <col customWidth="1" min="8" max="8" width="15.86"/>
    <col customWidth="1" min="9" max="9" width="17.0"/>
    <col customWidth="1" min="10" max="10" width="12.14"/>
    <col customWidth="1" min="11" max="11" width="15.86"/>
    <col customWidth="1" min="12" max="12" width="17.0"/>
    <col customWidth="1" min="13" max="13" width="11.29"/>
    <col customWidth="1" min="14" max="26" width="9.14"/>
  </cols>
  <sheetData>
    <row r="1" ht="15.75" customHeight="1">
      <c r="A1" s="95" t="s">
        <v>98</v>
      </c>
      <c r="B1" s="150" t="s">
        <v>2</v>
      </c>
      <c r="C1" s="97"/>
      <c r="D1" s="97"/>
      <c r="E1" s="97"/>
      <c r="F1" s="98"/>
      <c r="G1" s="151"/>
      <c r="H1" s="29"/>
      <c r="I1" s="28"/>
      <c r="J1" s="151"/>
      <c r="K1" s="28"/>
      <c r="L1" s="28"/>
      <c r="M1" s="28"/>
      <c r="N1" s="28"/>
      <c r="O1" s="28"/>
      <c r="P1" s="28"/>
      <c r="Q1" s="28"/>
      <c r="R1" s="28"/>
      <c r="S1" s="28"/>
      <c r="T1" s="28"/>
      <c r="U1" s="28"/>
      <c r="V1" s="28"/>
      <c r="W1" s="28"/>
      <c r="X1" s="28"/>
      <c r="Y1" s="28"/>
      <c r="Z1" s="28"/>
    </row>
    <row r="2" ht="15.75" customHeight="1">
      <c r="A2" s="95" t="s">
        <v>99</v>
      </c>
      <c r="B2" s="152" t="s">
        <v>31</v>
      </c>
      <c r="C2" s="97"/>
      <c r="D2" s="97"/>
      <c r="E2" s="97"/>
      <c r="F2" s="98"/>
      <c r="G2" s="151"/>
      <c r="H2" s="29"/>
      <c r="I2" s="28"/>
      <c r="J2" s="151"/>
      <c r="K2" s="28"/>
      <c r="L2" s="28"/>
      <c r="M2" s="28"/>
      <c r="N2" s="28"/>
      <c r="O2" s="28"/>
      <c r="P2" s="28"/>
      <c r="Q2" s="28"/>
      <c r="R2" s="28"/>
      <c r="S2" s="28"/>
      <c r="T2" s="28"/>
      <c r="U2" s="28"/>
      <c r="V2" s="28"/>
      <c r="W2" s="28"/>
      <c r="X2" s="28"/>
      <c r="Y2" s="28"/>
      <c r="Z2" s="28"/>
    </row>
    <row r="3" ht="15.75" customHeight="1">
      <c r="A3" s="153"/>
      <c r="B3" s="154" t="s">
        <v>73</v>
      </c>
      <c r="C3" s="154" t="s">
        <v>74</v>
      </c>
      <c r="D3" s="154" t="s">
        <v>100</v>
      </c>
      <c r="E3" s="155" t="s">
        <v>218</v>
      </c>
      <c r="F3" s="154" t="s">
        <v>219</v>
      </c>
      <c r="G3" s="156"/>
      <c r="H3" s="157"/>
      <c r="I3" s="158"/>
      <c r="J3" s="156"/>
      <c r="K3" s="158"/>
      <c r="L3" s="158"/>
      <c r="M3" s="158"/>
      <c r="N3" s="158"/>
      <c r="O3" s="158"/>
      <c r="P3" s="158"/>
      <c r="Q3" s="158"/>
      <c r="R3" s="158"/>
      <c r="S3" s="158"/>
      <c r="T3" s="158"/>
      <c r="U3" s="158"/>
      <c r="V3" s="158"/>
      <c r="W3" s="158"/>
      <c r="X3" s="158"/>
      <c r="Y3" s="158"/>
      <c r="Z3" s="158"/>
    </row>
    <row r="4">
      <c r="A4" s="159" t="s">
        <v>102</v>
      </c>
      <c r="B4" s="17">
        <v>29.0</v>
      </c>
      <c r="C4" s="17">
        <v>0.0</v>
      </c>
      <c r="D4" s="153">
        <f>COUNTIF(G11:G33,"Untested")</f>
        <v>0</v>
      </c>
      <c r="E4" s="160">
        <f>COUNTIF(G11:G33,"Blocked")</f>
        <v>0</v>
      </c>
      <c r="F4" s="153">
        <f t="shared" ref="F4:F5" si="1">B4</f>
        <v>29</v>
      </c>
      <c r="G4" s="156"/>
      <c r="H4" s="157"/>
      <c r="I4" s="158"/>
      <c r="J4" s="156"/>
      <c r="K4" s="158"/>
      <c r="L4" s="158"/>
      <c r="M4" s="158"/>
      <c r="N4" s="158"/>
      <c r="O4" s="158"/>
      <c r="P4" s="158"/>
      <c r="Q4" s="158"/>
      <c r="R4" s="158"/>
      <c r="S4" s="158"/>
      <c r="T4" s="158"/>
      <c r="U4" s="158"/>
      <c r="V4" s="158"/>
      <c r="W4" s="158"/>
      <c r="X4" s="158"/>
      <c r="Y4" s="158"/>
      <c r="Z4" s="158"/>
    </row>
    <row r="5">
      <c r="A5" s="159" t="s">
        <v>103</v>
      </c>
      <c r="B5" s="17">
        <v>29.0</v>
      </c>
      <c r="C5" s="17">
        <v>0.0</v>
      </c>
      <c r="D5" s="153">
        <f>COUNTIF(J11:J33,"Untested")</f>
        <v>0</v>
      </c>
      <c r="E5" s="160">
        <f>COUNTIF(J11:J33,"Blocked")</f>
        <v>0</v>
      </c>
      <c r="F5" s="153">
        <f t="shared" si="1"/>
        <v>29</v>
      </c>
      <c r="G5" s="156"/>
      <c r="H5" s="157"/>
      <c r="I5" s="158"/>
      <c r="J5" s="156"/>
      <c r="K5" s="158"/>
      <c r="L5" s="158"/>
      <c r="M5" s="158"/>
      <c r="N5" s="158"/>
      <c r="O5" s="158"/>
      <c r="P5" s="158"/>
      <c r="Q5" s="158"/>
      <c r="R5" s="158"/>
      <c r="S5" s="158"/>
      <c r="T5" s="158"/>
      <c r="U5" s="158"/>
      <c r="V5" s="158"/>
      <c r="W5" s="158"/>
      <c r="X5" s="158"/>
      <c r="Y5" s="158"/>
      <c r="Z5" s="158"/>
    </row>
    <row r="6" ht="343.5" customHeight="1">
      <c r="A6" s="161"/>
      <c r="B6" s="162"/>
      <c r="C6" s="158"/>
      <c r="E6" s="163"/>
      <c r="G6" s="156"/>
      <c r="H6" s="157"/>
      <c r="I6" s="158"/>
      <c r="J6" s="156"/>
      <c r="K6" s="158"/>
      <c r="L6" s="158"/>
      <c r="M6" s="158"/>
      <c r="N6" s="158"/>
      <c r="O6" s="158"/>
      <c r="P6" s="158"/>
      <c r="Q6" s="158"/>
      <c r="R6" s="158"/>
      <c r="S6" s="158"/>
      <c r="T6" s="158"/>
      <c r="U6" s="158"/>
      <c r="V6" s="158"/>
      <c r="W6" s="158"/>
      <c r="X6" s="158"/>
      <c r="Y6" s="158"/>
      <c r="Z6" s="158"/>
    </row>
    <row r="7">
      <c r="A7" s="164" t="s">
        <v>104</v>
      </c>
      <c r="B7" s="164" t="s">
        <v>7</v>
      </c>
      <c r="C7" s="164" t="s">
        <v>105</v>
      </c>
      <c r="D7" s="164" t="s">
        <v>221</v>
      </c>
      <c r="E7" s="165" t="s">
        <v>106</v>
      </c>
      <c r="F7" s="164" t="s">
        <v>107</v>
      </c>
      <c r="G7" s="166" t="s">
        <v>108</v>
      </c>
      <c r="H7" s="97"/>
      <c r="I7" s="98"/>
      <c r="J7" s="166" t="s">
        <v>108</v>
      </c>
      <c r="K7" s="97"/>
      <c r="L7" s="98"/>
      <c r="M7" s="164" t="s">
        <v>109</v>
      </c>
      <c r="N7" s="158"/>
      <c r="O7" s="158"/>
      <c r="P7" s="158"/>
      <c r="Q7" s="158"/>
      <c r="R7" s="158"/>
      <c r="S7" s="158"/>
      <c r="T7" s="158"/>
      <c r="U7" s="158"/>
      <c r="V7" s="158"/>
      <c r="W7" s="158"/>
      <c r="X7" s="158"/>
      <c r="Y7" s="158"/>
      <c r="Z7" s="158"/>
    </row>
    <row r="8">
      <c r="A8" s="21"/>
      <c r="B8" s="21"/>
      <c r="C8" s="21"/>
      <c r="D8" s="21"/>
      <c r="E8" s="21"/>
      <c r="F8" s="21"/>
      <c r="G8" s="166" t="s">
        <v>81</v>
      </c>
      <c r="H8" s="97"/>
      <c r="I8" s="98"/>
      <c r="J8" s="166" t="s">
        <v>82</v>
      </c>
      <c r="K8" s="97"/>
      <c r="L8" s="98"/>
      <c r="M8" s="21"/>
      <c r="N8" s="158"/>
      <c r="O8" s="158"/>
      <c r="P8" s="158"/>
      <c r="Q8" s="158"/>
      <c r="R8" s="158"/>
      <c r="S8" s="158"/>
      <c r="T8" s="158"/>
      <c r="U8" s="158"/>
      <c r="V8" s="158"/>
      <c r="W8" s="158"/>
      <c r="X8" s="158"/>
      <c r="Y8" s="158"/>
      <c r="Z8" s="158"/>
    </row>
    <row r="9">
      <c r="A9" s="23"/>
      <c r="B9" s="23"/>
      <c r="C9" s="23"/>
      <c r="D9" s="23"/>
      <c r="E9" s="23"/>
      <c r="F9" s="23"/>
      <c r="G9" s="101" t="s">
        <v>110</v>
      </c>
      <c r="H9" s="167" t="s">
        <v>111</v>
      </c>
      <c r="I9" s="101" t="s">
        <v>112</v>
      </c>
      <c r="J9" s="101" t="s">
        <v>110</v>
      </c>
      <c r="K9" s="167" t="s">
        <v>111</v>
      </c>
      <c r="L9" s="101" t="s">
        <v>112</v>
      </c>
      <c r="M9" s="23"/>
      <c r="N9" s="158"/>
      <c r="O9" s="158"/>
      <c r="P9" s="158"/>
      <c r="Q9" s="158"/>
      <c r="R9" s="158"/>
      <c r="S9" s="158"/>
      <c r="T9" s="158"/>
      <c r="U9" s="158"/>
      <c r="V9" s="158"/>
      <c r="W9" s="158"/>
      <c r="X9" s="158"/>
      <c r="Y9" s="158"/>
      <c r="Z9" s="158"/>
    </row>
    <row r="10">
      <c r="A10" s="140" t="s">
        <v>425</v>
      </c>
      <c r="B10" s="97"/>
      <c r="C10" s="97"/>
      <c r="D10" s="97"/>
      <c r="E10" s="97"/>
      <c r="F10" s="97"/>
      <c r="G10" s="97"/>
      <c r="H10" s="97"/>
      <c r="I10" s="97"/>
      <c r="J10" s="97"/>
      <c r="K10" s="97"/>
      <c r="L10" s="97"/>
      <c r="M10" s="98"/>
      <c r="N10" s="158"/>
      <c r="O10" s="158"/>
      <c r="P10" s="158"/>
      <c r="Q10" s="158"/>
      <c r="R10" s="158"/>
      <c r="S10" s="158"/>
      <c r="T10" s="158"/>
      <c r="U10" s="158"/>
      <c r="V10" s="158"/>
      <c r="W10" s="158"/>
      <c r="X10" s="158"/>
      <c r="Y10" s="158"/>
      <c r="Z10" s="158"/>
    </row>
    <row r="11">
      <c r="A11" s="114" t="s">
        <v>426</v>
      </c>
      <c r="B11" s="114" t="s">
        <v>427</v>
      </c>
      <c r="C11" s="144"/>
      <c r="D11" s="168" t="s">
        <v>428</v>
      </c>
      <c r="E11" s="114" t="s">
        <v>429</v>
      </c>
      <c r="F11" s="114" t="s">
        <v>429</v>
      </c>
      <c r="G11" s="17" t="s">
        <v>117</v>
      </c>
      <c r="H11" s="117" t="s">
        <v>430</v>
      </c>
      <c r="I11" s="22" t="s">
        <v>348</v>
      </c>
      <c r="J11" s="17" t="s">
        <v>117</v>
      </c>
      <c r="K11" s="117" t="s">
        <v>120</v>
      </c>
      <c r="L11" s="22" t="s">
        <v>431</v>
      </c>
      <c r="M11" s="144"/>
      <c r="N11" s="158"/>
      <c r="O11" s="158"/>
      <c r="P11" s="158"/>
      <c r="Q11" s="158"/>
      <c r="R11" s="158"/>
      <c r="S11" s="158"/>
      <c r="T11" s="158"/>
      <c r="U11" s="158"/>
      <c r="V11" s="158"/>
      <c r="W11" s="158"/>
      <c r="X11" s="158"/>
      <c r="Y11" s="158"/>
      <c r="Z11" s="158"/>
    </row>
    <row r="12">
      <c r="A12" s="114" t="s">
        <v>432</v>
      </c>
      <c r="B12" s="114" t="s">
        <v>433</v>
      </c>
      <c r="C12" s="144"/>
      <c r="D12" s="168" t="s">
        <v>428</v>
      </c>
      <c r="E12" s="120" t="s">
        <v>434</v>
      </c>
      <c r="F12" s="120" t="s">
        <v>434</v>
      </c>
      <c r="G12" s="17" t="s">
        <v>117</v>
      </c>
      <c r="H12" s="117" t="s">
        <v>430</v>
      </c>
      <c r="I12" s="22" t="s">
        <v>348</v>
      </c>
      <c r="J12" s="17" t="s">
        <v>117</v>
      </c>
      <c r="K12" s="117" t="s">
        <v>120</v>
      </c>
      <c r="L12" s="22" t="s">
        <v>431</v>
      </c>
      <c r="M12" s="144"/>
      <c r="N12" s="158"/>
      <c r="O12" s="158"/>
      <c r="P12" s="158"/>
      <c r="Q12" s="158"/>
      <c r="R12" s="158"/>
      <c r="S12" s="158"/>
      <c r="T12" s="158"/>
      <c r="U12" s="158"/>
      <c r="V12" s="158"/>
      <c r="W12" s="158"/>
      <c r="X12" s="158"/>
      <c r="Y12" s="158"/>
      <c r="Z12" s="158"/>
    </row>
    <row r="13">
      <c r="A13" s="114" t="s">
        <v>435</v>
      </c>
      <c r="B13" s="114" t="s">
        <v>436</v>
      </c>
      <c r="C13" s="144"/>
      <c r="D13" s="168" t="s">
        <v>428</v>
      </c>
      <c r="E13" s="114" t="s">
        <v>429</v>
      </c>
      <c r="F13" s="114" t="s">
        <v>429</v>
      </c>
      <c r="G13" s="17" t="s">
        <v>117</v>
      </c>
      <c r="H13" s="117" t="s">
        <v>430</v>
      </c>
      <c r="I13" s="22" t="s">
        <v>348</v>
      </c>
      <c r="J13" s="17" t="s">
        <v>117</v>
      </c>
      <c r="K13" s="117" t="s">
        <v>120</v>
      </c>
      <c r="L13" s="22" t="s">
        <v>431</v>
      </c>
      <c r="M13" s="144"/>
      <c r="N13" s="158"/>
      <c r="O13" s="158"/>
      <c r="P13" s="158"/>
      <c r="Q13" s="158"/>
      <c r="R13" s="158"/>
      <c r="S13" s="158"/>
      <c r="T13" s="158"/>
      <c r="U13" s="158"/>
      <c r="V13" s="158"/>
      <c r="W13" s="158"/>
      <c r="X13" s="158"/>
      <c r="Y13" s="158"/>
      <c r="Z13" s="158"/>
    </row>
    <row r="14">
      <c r="A14" s="114" t="s">
        <v>437</v>
      </c>
      <c r="B14" s="114" t="s">
        <v>438</v>
      </c>
      <c r="C14" s="144"/>
      <c r="D14" s="168" t="s">
        <v>428</v>
      </c>
      <c r="E14" s="114" t="s">
        <v>429</v>
      </c>
      <c r="F14" s="114" t="s">
        <v>429</v>
      </c>
      <c r="G14" s="17" t="s">
        <v>117</v>
      </c>
      <c r="H14" s="117" t="s">
        <v>430</v>
      </c>
      <c r="I14" s="22" t="s">
        <v>348</v>
      </c>
      <c r="J14" s="17" t="s">
        <v>117</v>
      </c>
      <c r="K14" s="117" t="s">
        <v>120</v>
      </c>
      <c r="L14" s="22" t="s">
        <v>431</v>
      </c>
      <c r="M14" s="144"/>
      <c r="N14" s="158"/>
      <c r="O14" s="158"/>
      <c r="P14" s="158"/>
      <c r="Q14" s="158"/>
      <c r="R14" s="158"/>
      <c r="S14" s="158"/>
      <c r="T14" s="158"/>
      <c r="U14" s="158"/>
      <c r="V14" s="158"/>
      <c r="W14" s="158"/>
      <c r="X14" s="158"/>
      <c r="Y14" s="158"/>
      <c r="Z14" s="158"/>
    </row>
    <row r="15">
      <c r="A15" s="114" t="s">
        <v>439</v>
      </c>
      <c r="B15" s="114" t="s">
        <v>440</v>
      </c>
      <c r="C15" s="144"/>
      <c r="D15" s="168" t="s">
        <v>428</v>
      </c>
      <c r="E15" s="114" t="s">
        <v>429</v>
      </c>
      <c r="F15" s="114" t="s">
        <v>429</v>
      </c>
      <c r="G15" s="17" t="s">
        <v>117</v>
      </c>
      <c r="H15" s="117" t="s">
        <v>430</v>
      </c>
      <c r="I15" s="22" t="s">
        <v>348</v>
      </c>
      <c r="J15" s="17" t="s">
        <v>117</v>
      </c>
      <c r="K15" s="117" t="s">
        <v>120</v>
      </c>
      <c r="L15" s="22" t="s">
        <v>431</v>
      </c>
      <c r="M15" s="144"/>
      <c r="N15" s="158"/>
      <c r="O15" s="158"/>
      <c r="P15" s="158"/>
      <c r="Q15" s="158"/>
      <c r="R15" s="158"/>
      <c r="S15" s="158"/>
      <c r="T15" s="158"/>
      <c r="U15" s="158"/>
      <c r="V15" s="158"/>
      <c r="W15" s="158"/>
      <c r="X15" s="158"/>
      <c r="Y15" s="158"/>
      <c r="Z15" s="158"/>
    </row>
    <row r="16">
      <c r="A16" s="114" t="s">
        <v>441</v>
      </c>
      <c r="B16" s="114" t="s">
        <v>442</v>
      </c>
      <c r="C16" s="144"/>
      <c r="D16" s="168" t="s">
        <v>428</v>
      </c>
      <c r="E16" s="114" t="s">
        <v>136</v>
      </c>
      <c r="F16" s="114" t="s">
        <v>136</v>
      </c>
      <c r="G16" s="17" t="s">
        <v>117</v>
      </c>
      <c r="H16" s="117" t="s">
        <v>430</v>
      </c>
      <c r="I16" s="22" t="s">
        <v>348</v>
      </c>
      <c r="J16" s="17" t="s">
        <v>117</v>
      </c>
      <c r="K16" s="117" t="s">
        <v>120</v>
      </c>
      <c r="L16" s="22" t="s">
        <v>431</v>
      </c>
      <c r="M16" s="144"/>
      <c r="N16" s="158"/>
      <c r="O16" s="158"/>
      <c r="P16" s="158"/>
      <c r="Q16" s="158"/>
      <c r="R16" s="158"/>
      <c r="S16" s="158"/>
      <c r="T16" s="158"/>
      <c r="U16" s="158"/>
      <c r="V16" s="158"/>
      <c r="W16" s="158"/>
      <c r="X16" s="158"/>
      <c r="Y16" s="158"/>
      <c r="Z16" s="158"/>
    </row>
    <row r="17">
      <c r="A17" s="114" t="s">
        <v>443</v>
      </c>
      <c r="B17" s="114" t="s">
        <v>444</v>
      </c>
      <c r="C17" s="144"/>
      <c r="D17" s="168" t="s">
        <v>428</v>
      </c>
      <c r="E17" s="114" t="s">
        <v>445</v>
      </c>
      <c r="F17" s="114" t="s">
        <v>445</v>
      </c>
      <c r="G17" s="17" t="s">
        <v>117</v>
      </c>
      <c r="H17" s="117" t="s">
        <v>430</v>
      </c>
      <c r="I17" s="22" t="s">
        <v>348</v>
      </c>
      <c r="J17" s="17" t="s">
        <v>117</v>
      </c>
      <c r="K17" s="117" t="s">
        <v>120</v>
      </c>
      <c r="L17" s="22" t="s">
        <v>431</v>
      </c>
      <c r="M17" s="144"/>
      <c r="N17" s="158"/>
      <c r="O17" s="158"/>
      <c r="P17" s="158"/>
      <c r="Q17" s="158"/>
      <c r="R17" s="158"/>
      <c r="S17" s="158"/>
      <c r="T17" s="158"/>
      <c r="U17" s="158"/>
      <c r="V17" s="158"/>
      <c r="W17" s="158"/>
      <c r="X17" s="158"/>
      <c r="Y17" s="158"/>
      <c r="Z17" s="158"/>
    </row>
    <row r="18">
      <c r="A18" s="114" t="s">
        <v>446</v>
      </c>
      <c r="B18" s="114" t="s">
        <v>447</v>
      </c>
      <c r="C18" s="144"/>
      <c r="D18" s="168" t="s">
        <v>428</v>
      </c>
      <c r="E18" s="114" t="s">
        <v>445</v>
      </c>
      <c r="F18" s="114" t="s">
        <v>445</v>
      </c>
      <c r="G18" s="17" t="s">
        <v>117</v>
      </c>
      <c r="H18" s="117" t="s">
        <v>430</v>
      </c>
      <c r="I18" s="22" t="s">
        <v>348</v>
      </c>
      <c r="J18" s="17" t="s">
        <v>117</v>
      </c>
      <c r="K18" s="117" t="s">
        <v>120</v>
      </c>
      <c r="L18" s="22" t="s">
        <v>431</v>
      </c>
      <c r="M18" s="144"/>
      <c r="N18" s="158"/>
      <c r="O18" s="158"/>
      <c r="P18" s="158"/>
      <c r="Q18" s="158"/>
      <c r="R18" s="158"/>
      <c r="S18" s="158"/>
      <c r="T18" s="158"/>
      <c r="U18" s="158"/>
      <c r="V18" s="158"/>
      <c r="W18" s="158"/>
      <c r="X18" s="158"/>
      <c r="Y18" s="158"/>
      <c r="Z18" s="158"/>
    </row>
    <row r="19">
      <c r="A19" s="114" t="s">
        <v>448</v>
      </c>
      <c r="B19" s="114" t="s">
        <v>449</v>
      </c>
      <c r="C19" s="144"/>
      <c r="D19" s="168" t="s">
        <v>428</v>
      </c>
      <c r="E19" s="114" t="s">
        <v>445</v>
      </c>
      <c r="F19" s="114" t="s">
        <v>445</v>
      </c>
      <c r="G19" s="17" t="s">
        <v>117</v>
      </c>
      <c r="H19" s="117" t="s">
        <v>430</v>
      </c>
      <c r="I19" s="22" t="s">
        <v>348</v>
      </c>
      <c r="J19" s="17" t="s">
        <v>117</v>
      </c>
      <c r="K19" s="117" t="s">
        <v>120</v>
      </c>
      <c r="L19" s="22" t="s">
        <v>431</v>
      </c>
      <c r="M19" s="144"/>
      <c r="N19" s="158"/>
      <c r="O19" s="158"/>
      <c r="P19" s="158"/>
      <c r="Q19" s="158"/>
      <c r="R19" s="158"/>
      <c r="S19" s="158"/>
      <c r="T19" s="158"/>
      <c r="U19" s="158"/>
      <c r="V19" s="158"/>
      <c r="W19" s="158"/>
      <c r="X19" s="158"/>
      <c r="Y19" s="158"/>
      <c r="Z19" s="158"/>
    </row>
    <row r="20">
      <c r="A20" s="114" t="s">
        <v>450</v>
      </c>
      <c r="B20" s="114" t="s">
        <v>451</v>
      </c>
      <c r="C20" s="144"/>
      <c r="D20" s="168" t="s">
        <v>428</v>
      </c>
      <c r="E20" s="114" t="s">
        <v>445</v>
      </c>
      <c r="F20" s="114" t="s">
        <v>445</v>
      </c>
      <c r="G20" s="17" t="s">
        <v>117</v>
      </c>
      <c r="H20" s="117" t="s">
        <v>430</v>
      </c>
      <c r="I20" s="22" t="s">
        <v>348</v>
      </c>
      <c r="J20" s="17" t="s">
        <v>117</v>
      </c>
      <c r="K20" s="117" t="s">
        <v>120</v>
      </c>
      <c r="L20" s="22" t="s">
        <v>431</v>
      </c>
      <c r="M20" s="144"/>
      <c r="N20" s="158"/>
      <c r="O20" s="158"/>
      <c r="P20" s="158"/>
      <c r="Q20" s="158"/>
      <c r="R20" s="158"/>
      <c r="S20" s="158"/>
      <c r="T20" s="158"/>
      <c r="U20" s="158"/>
      <c r="V20" s="158"/>
      <c r="W20" s="158"/>
      <c r="X20" s="158"/>
      <c r="Y20" s="158"/>
      <c r="Z20" s="158"/>
    </row>
    <row r="21" ht="54.0" customHeight="1">
      <c r="A21" s="114" t="s">
        <v>452</v>
      </c>
      <c r="B21" s="114" t="s">
        <v>453</v>
      </c>
      <c r="C21" s="144"/>
      <c r="D21" s="168" t="s">
        <v>428</v>
      </c>
      <c r="E21" s="114" t="s">
        <v>445</v>
      </c>
      <c r="F21" s="114" t="s">
        <v>445</v>
      </c>
      <c r="G21" s="17" t="s">
        <v>117</v>
      </c>
      <c r="H21" s="117" t="s">
        <v>430</v>
      </c>
      <c r="I21" s="22" t="s">
        <v>348</v>
      </c>
      <c r="J21" s="17" t="s">
        <v>117</v>
      </c>
      <c r="K21" s="117" t="s">
        <v>120</v>
      </c>
      <c r="L21" s="22" t="s">
        <v>431</v>
      </c>
      <c r="M21" s="144"/>
      <c r="N21" s="158"/>
      <c r="O21" s="158"/>
      <c r="P21" s="158"/>
      <c r="Q21" s="158"/>
      <c r="R21" s="158"/>
      <c r="S21" s="158"/>
      <c r="T21" s="158"/>
      <c r="U21" s="158"/>
      <c r="V21" s="158"/>
      <c r="W21" s="158"/>
      <c r="X21" s="158"/>
      <c r="Y21" s="158"/>
      <c r="Z21" s="158"/>
    </row>
    <row r="22" ht="54.0" customHeight="1">
      <c r="A22" s="114" t="s">
        <v>454</v>
      </c>
      <c r="B22" s="114" t="s">
        <v>455</v>
      </c>
      <c r="C22" s="144"/>
      <c r="D22" s="168" t="s">
        <v>428</v>
      </c>
      <c r="E22" s="114" t="s">
        <v>445</v>
      </c>
      <c r="F22" s="114" t="s">
        <v>445</v>
      </c>
      <c r="G22" s="17" t="s">
        <v>117</v>
      </c>
      <c r="H22" s="117" t="s">
        <v>430</v>
      </c>
      <c r="I22" s="22" t="s">
        <v>348</v>
      </c>
      <c r="J22" s="17" t="s">
        <v>117</v>
      </c>
      <c r="K22" s="117" t="s">
        <v>120</v>
      </c>
      <c r="L22" s="22" t="s">
        <v>431</v>
      </c>
      <c r="M22" s="144"/>
      <c r="N22" s="158"/>
      <c r="O22" s="158"/>
      <c r="P22" s="158"/>
      <c r="Q22" s="158"/>
      <c r="R22" s="158"/>
      <c r="S22" s="158"/>
      <c r="T22" s="158"/>
      <c r="U22" s="158"/>
      <c r="V22" s="158"/>
      <c r="W22" s="158"/>
      <c r="X22" s="158"/>
      <c r="Y22" s="158"/>
      <c r="Z22" s="158"/>
    </row>
    <row r="23" ht="15.75" customHeight="1">
      <c r="A23" s="114" t="s">
        <v>456</v>
      </c>
      <c r="B23" s="114" t="s">
        <v>457</v>
      </c>
      <c r="C23" s="144"/>
      <c r="D23" s="168" t="s">
        <v>428</v>
      </c>
      <c r="E23" s="114" t="s">
        <v>136</v>
      </c>
      <c r="F23" s="114" t="s">
        <v>136</v>
      </c>
      <c r="G23" s="17" t="s">
        <v>117</v>
      </c>
      <c r="H23" s="117" t="s">
        <v>430</v>
      </c>
      <c r="I23" s="22" t="s">
        <v>348</v>
      </c>
      <c r="J23" s="17" t="s">
        <v>117</v>
      </c>
      <c r="K23" s="117" t="s">
        <v>120</v>
      </c>
      <c r="L23" s="22" t="s">
        <v>431</v>
      </c>
      <c r="M23" s="144"/>
      <c r="N23" s="158"/>
      <c r="O23" s="158"/>
      <c r="P23" s="158"/>
      <c r="Q23" s="158"/>
      <c r="R23" s="158"/>
      <c r="S23" s="158"/>
      <c r="T23" s="158"/>
      <c r="U23" s="158"/>
      <c r="V23" s="158"/>
      <c r="W23" s="158"/>
      <c r="X23" s="158"/>
      <c r="Y23" s="158"/>
      <c r="Z23" s="158"/>
    </row>
    <row r="24" ht="15.75" customHeight="1">
      <c r="A24" s="114" t="s">
        <v>458</v>
      </c>
      <c r="B24" s="114" t="s">
        <v>459</v>
      </c>
      <c r="C24" s="144"/>
      <c r="D24" s="168" t="s">
        <v>428</v>
      </c>
      <c r="E24" s="114" t="s">
        <v>136</v>
      </c>
      <c r="F24" s="114" t="s">
        <v>136</v>
      </c>
      <c r="G24" s="17" t="s">
        <v>117</v>
      </c>
      <c r="H24" s="117" t="s">
        <v>430</v>
      </c>
      <c r="I24" s="22" t="s">
        <v>348</v>
      </c>
      <c r="J24" s="17" t="s">
        <v>117</v>
      </c>
      <c r="K24" s="117" t="s">
        <v>120</v>
      </c>
      <c r="L24" s="22" t="s">
        <v>431</v>
      </c>
      <c r="M24" s="144"/>
      <c r="N24" s="158"/>
      <c r="O24" s="158"/>
      <c r="P24" s="158"/>
      <c r="Q24" s="158"/>
      <c r="R24" s="158"/>
      <c r="S24" s="158"/>
      <c r="T24" s="158"/>
      <c r="U24" s="158"/>
      <c r="V24" s="158"/>
      <c r="W24" s="158"/>
      <c r="X24" s="158"/>
      <c r="Y24" s="158"/>
      <c r="Z24" s="158"/>
    </row>
    <row r="25" ht="15.75" customHeight="1">
      <c r="A25" s="114" t="s">
        <v>460</v>
      </c>
      <c r="B25" s="114" t="s">
        <v>461</v>
      </c>
      <c r="C25" s="144"/>
      <c r="D25" s="168" t="s">
        <v>428</v>
      </c>
      <c r="E25" s="114" t="s">
        <v>233</v>
      </c>
      <c r="F25" s="114" t="s">
        <v>233</v>
      </c>
      <c r="G25" s="17" t="s">
        <v>117</v>
      </c>
      <c r="H25" s="117" t="s">
        <v>430</v>
      </c>
      <c r="I25" s="22" t="s">
        <v>348</v>
      </c>
      <c r="J25" s="17" t="s">
        <v>117</v>
      </c>
      <c r="K25" s="117" t="s">
        <v>120</v>
      </c>
      <c r="L25" s="22" t="s">
        <v>431</v>
      </c>
      <c r="M25" s="144"/>
      <c r="N25" s="79"/>
      <c r="O25" s="79"/>
      <c r="P25" s="79"/>
      <c r="Q25" s="79"/>
      <c r="R25" s="79"/>
      <c r="S25" s="79"/>
      <c r="T25" s="79"/>
      <c r="U25" s="79"/>
      <c r="V25" s="79"/>
      <c r="W25" s="79"/>
      <c r="X25" s="79"/>
      <c r="Y25" s="79"/>
      <c r="Z25" s="79"/>
    </row>
    <row r="26" ht="15.75" customHeight="1">
      <c r="A26" s="114" t="s">
        <v>462</v>
      </c>
      <c r="B26" s="114" t="s">
        <v>463</v>
      </c>
      <c r="C26" s="144"/>
      <c r="D26" s="168" t="s">
        <v>428</v>
      </c>
      <c r="E26" s="114" t="s">
        <v>136</v>
      </c>
      <c r="F26" s="114" t="s">
        <v>136</v>
      </c>
      <c r="G26" s="17" t="s">
        <v>117</v>
      </c>
      <c r="H26" s="117" t="s">
        <v>430</v>
      </c>
      <c r="I26" s="22" t="s">
        <v>348</v>
      </c>
      <c r="J26" s="17" t="s">
        <v>117</v>
      </c>
      <c r="K26" s="117" t="s">
        <v>120</v>
      </c>
      <c r="L26" s="22" t="s">
        <v>431</v>
      </c>
      <c r="M26" s="144"/>
      <c r="N26" s="79"/>
      <c r="O26" s="79"/>
      <c r="P26" s="79"/>
      <c r="Q26" s="79"/>
      <c r="R26" s="79"/>
      <c r="S26" s="79"/>
      <c r="T26" s="79"/>
      <c r="U26" s="79"/>
      <c r="V26" s="79"/>
      <c r="W26" s="79"/>
      <c r="X26" s="79"/>
      <c r="Y26" s="79"/>
      <c r="Z26" s="79"/>
    </row>
    <row r="27" ht="15.75" customHeight="1">
      <c r="A27" s="143" t="s">
        <v>464</v>
      </c>
      <c r="B27" s="97"/>
      <c r="C27" s="97"/>
      <c r="D27" s="97"/>
      <c r="E27" s="97"/>
      <c r="F27" s="97"/>
      <c r="G27" s="97"/>
      <c r="H27" s="97"/>
      <c r="I27" s="97"/>
      <c r="J27" s="97"/>
      <c r="K27" s="97"/>
      <c r="L27" s="97"/>
      <c r="M27" s="98"/>
      <c r="N27" s="79"/>
      <c r="O27" s="79"/>
      <c r="P27" s="79"/>
      <c r="Q27" s="79"/>
      <c r="R27" s="79"/>
      <c r="S27" s="79"/>
      <c r="T27" s="79"/>
      <c r="U27" s="79"/>
      <c r="V27" s="79"/>
      <c r="W27" s="79"/>
      <c r="X27" s="79"/>
      <c r="Y27" s="79"/>
      <c r="Z27" s="79"/>
    </row>
    <row r="28" ht="15.75" customHeight="1">
      <c r="A28" s="114" t="s">
        <v>465</v>
      </c>
      <c r="B28" s="114" t="s">
        <v>21</v>
      </c>
      <c r="C28" s="114" t="s">
        <v>466</v>
      </c>
      <c r="D28" s="168" t="s">
        <v>428</v>
      </c>
      <c r="E28" s="114" t="s">
        <v>467</v>
      </c>
      <c r="F28" s="114" t="s">
        <v>467</v>
      </c>
      <c r="G28" s="17" t="s">
        <v>117</v>
      </c>
      <c r="H28" s="117" t="s">
        <v>430</v>
      </c>
      <c r="I28" s="22" t="s">
        <v>348</v>
      </c>
      <c r="J28" s="17" t="s">
        <v>117</v>
      </c>
      <c r="K28" s="117" t="s">
        <v>120</v>
      </c>
      <c r="L28" s="22" t="s">
        <v>431</v>
      </c>
      <c r="M28" s="144"/>
      <c r="N28" s="79"/>
      <c r="O28" s="79"/>
      <c r="P28" s="79"/>
      <c r="Q28" s="79"/>
      <c r="R28" s="79"/>
      <c r="S28" s="79"/>
      <c r="T28" s="79"/>
      <c r="U28" s="79"/>
      <c r="V28" s="79"/>
      <c r="W28" s="79"/>
      <c r="X28" s="79"/>
      <c r="Y28" s="79"/>
      <c r="Z28" s="79"/>
    </row>
    <row r="29" ht="15.75" customHeight="1">
      <c r="A29" s="114" t="s">
        <v>468</v>
      </c>
      <c r="B29" s="114" t="s">
        <v>469</v>
      </c>
      <c r="C29" s="114" t="s">
        <v>470</v>
      </c>
      <c r="D29" s="168" t="s">
        <v>428</v>
      </c>
      <c r="E29" s="114" t="s">
        <v>471</v>
      </c>
      <c r="F29" s="114" t="s">
        <v>471</v>
      </c>
      <c r="G29" s="17" t="s">
        <v>117</v>
      </c>
      <c r="H29" s="117" t="s">
        <v>430</v>
      </c>
      <c r="I29" s="22" t="s">
        <v>348</v>
      </c>
      <c r="J29" s="17" t="s">
        <v>117</v>
      </c>
      <c r="K29" s="117" t="s">
        <v>120</v>
      </c>
      <c r="L29" s="22" t="s">
        <v>431</v>
      </c>
      <c r="M29" s="144"/>
      <c r="N29" s="79"/>
      <c r="O29" s="79"/>
      <c r="P29" s="79"/>
      <c r="Q29" s="79"/>
      <c r="R29" s="79"/>
      <c r="S29" s="79"/>
      <c r="T29" s="79"/>
      <c r="U29" s="79"/>
      <c r="V29" s="79"/>
      <c r="W29" s="79"/>
      <c r="X29" s="79"/>
      <c r="Y29" s="79"/>
      <c r="Z29" s="79"/>
    </row>
    <row r="30" ht="15.75" customHeight="1">
      <c r="A30" s="114" t="s">
        <v>472</v>
      </c>
      <c r="B30" s="114" t="s">
        <v>473</v>
      </c>
      <c r="C30" s="114" t="s">
        <v>474</v>
      </c>
      <c r="D30" s="168" t="s">
        <v>428</v>
      </c>
      <c r="E30" s="114" t="s">
        <v>475</v>
      </c>
      <c r="F30" s="114" t="s">
        <v>475</v>
      </c>
      <c r="G30" s="17" t="s">
        <v>117</v>
      </c>
      <c r="H30" s="117" t="s">
        <v>430</v>
      </c>
      <c r="I30" s="22" t="s">
        <v>348</v>
      </c>
      <c r="J30" s="17" t="s">
        <v>117</v>
      </c>
      <c r="K30" s="117" t="s">
        <v>120</v>
      </c>
      <c r="L30" s="22" t="s">
        <v>431</v>
      </c>
      <c r="M30" s="144"/>
      <c r="N30" s="79"/>
      <c r="O30" s="79"/>
      <c r="P30" s="79"/>
      <c r="Q30" s="79"/>
      <c r="R30" s="79"/>
      <c r="S30" s="79"/>
      <c r="T30" s="79"/>
      <c r="U30" s="79"/>
      <c r="V30" s="79"/>
      <c r="W30" s="79"/>
      <c r="X30" s="79"/>
      <c r="Y30" s="79"/>
      <c r="Z30" s="79"/>
    </row>
    <row r="31" ht="15.75" customHeight="1">
      <c r="A31" s="114" t="s">
        <v>476</v>
      </c>
      <c r="B31" s="114" t="s">
        <v>477</v>
      </c>
      <c r="C31" s="114" t="s">
        <v>478</v>
      </c>
      <c r="D31" s="168" t="s">
        <v>428</v>
      </c>
      <c r="E31" s="114" t="s">
        <v>479</v>
      </c>
      <c r="F31" s="114" t="s">
        <v>479</v>
      </c>
      <c r="G31" s="17" t="s">
        <v>117</v>
      </c>
      <c r="H31" s="117" t="s">
        <v>430</v>
      </c>
      <c r="I31" s="22" t="s">
        <v>348</v>
      </c>
      <c r="J31" s="17" t="s">
        <v>117</v>
      </c>
      <c r="K31" s="117" t="s">
        <v>120</v>
      </c>
      <c r="L31" s="22" t="s">
        <v>431</v>
      </c>
      <c r="M31" s="144"/>
      <c r="N31" s="79"/>
      <c r="O31" s="79"/>
      <c r="P31" s="79"/>
      <c r="Q31" s="79"/>
      <c r="R31" s="79"/>
      <c r="S31" s="79"/>
      <c r="T31" s="79"/>
      <c r="U31" s="79"/>
      <c r="V31" s="79"/>
      <c r="W31" s="79"/>
      <c r="X31" s="79"/>
      <c r="Y31" s="79"/>
      <c r="Z31" s="79"/>
    </row>
    <row r="32" ht="15.75" customHeight="1">
      <c r="A32" s="114" t="s">
        <v>480</v>
      </c>
      <c r="B32" s="114" t="s">
        <v>481</v>
      </c>
      <c r="C32" s="114" t="s">
        <v>482</v>
      </c>
      <c r="D32" s="168" t="s">
        <v>428</v>
      </c>
      <c r="E32" s="114" t="s">
        <v>483</v>
      </c>
      <c r="F32" s="114" t="s">
        <v>483</v>
      </c>
      <c r="G32" s="17" t="s">
        <v>117</v>
      </c>
      <c r="H32" s="117" t="s">
        <v>430</v>
      </c>
      <c r="I32" s="22" t="s">
        <v>348</v>
      </c>
      <c r="J32" s="17" t="s">
        <v>117</v>
      </c>
      <c r="K32" s="117" t="s">
        <v>120</v>
      </c>
      <c r="L32" s="22" t="s">
        <v>431</v>
      </c>
      <c r="M32" s="144"/>
      <c r="N32" s="79"/>
      <c r="O32" s="79"/>
      <c r="P32" s="79"/>
      <c r="Q32" s="79"/>
      <c r="R32" s="79"/>
      <c r="S32" s="79"/>
      <c r="T32" s="79"/>
      <c r="U32" s="79"/>
      <c r="V32" s="79"/>
      <c r="W32" s="79"/>
      <c r="X32" s="79"/>
      <c r="Y32" s="79"/>
      <c r="Z32" s="79"/>
    </row>
    <row r="33" ht="15.75" customHeight="1">
      <c r="A33" s="114" t="s">
        <v>484</v>
      </c>
      <c r="B33" s="114" t="s">
        <v>485</v>
      </c>
      <c r="C33" s="114" t="s">
        <v>486</v>
      </c>
      <c r="D33" s="168" t="s">
        <v>428</v>
      </c>
      <c r="E33" s="114" t="s">
        <v>487</v>
      </c>
      <c r="F33" s="114" t="s">
        <v>487</v>
      </c>
      <c r="G33" s="17" t="s">
        <v>117</v>
      </c>
      <c r="H33" s="117" t="s">
        <v>430</v>
      </c>
      <c r="I33" s="22" t="s">
        <v>348</v>
      </c>
      <c r="J33" s="17" t="s">
        <v>117</v>
      </c>
      <c r="K33" s="117" t="s">
        <v>120</v>
      </c>
      <c r="L33" s="22" t="s">
        <v>431</v>
      </c>
      <c r="M33" s="144"/>
      <c r="N33" s="79"/>
      <c r="O33" s="79"/>
      <c r="P33" s="79"/>
      <c r="Q33" s="79"/>
      <c r="R33" s="79"/>
      <c r="S33" s="79"/>
      <c r="T33" s="79"/>
      <c r="U33" s="79"/>
      <c r="V33" s="79"/>
      <c r="W33" s="79"/>
      <c r="X33" s="79"/>
      <c r="Y33" s="79"/>
      <c r="Z33" s="79"/>
    </row>
    <row r="34" ht="15.75" customHeight="1">
      <c r="A34" s="114" t="s">
        <v>488</v>
      </c>
      <c r="B34" s="114" t="s">
        <v>489</v>
      </c>
      <c r="C34" s="114" t="s">
        <v>490</v>
      </c>
      <c r="D34" s="168" t="s">
        <v>428</v>
      </c>
      <c r="E34" s="114" t="s">
        <v>491</v>
      </c>
      <c r="F34" s="114" t="s">
        <v>491</v>
      </c>
      <c r="G34" s="17" t="s">
        <v>117</v>
      </c>
      <c r="H34" s="117" t="s">
        <v>430</v>
      </c>
      <c r="I34" s="22" t="s">
        <v>348</v>
      </c>
      <c r="J34" s="17" t="s">
        <v>117</v>
      </c>
      <c r="K34" s="117" t="s">
        <v>120</v>
      </c>
      <c r="L34" s="22" t="s">
        <v>431</v>
      </c>
      <c r="M34" s="144"/>
      <c r="N34" s="79"/>
      <c r="O34" s="79"/>
      <c r="P34" s="79"/>
      <c r="Q34" s="79"/>
      <c r="R34" s="79"/>
      <c r="S34" s="79"/>
      <c r="T34" s="79"/>
      <c r="U34" s="79"/>
      <c r="V34" s="79"/>
      <c r="W34" s="79"/>
      <c r="X34" s="79"/>
      <c r="Y34" s="79"/>
      <c r="Z34" s="79"/>
    </row>
    <row r="35" ht="15.75" customHeight="1">
      <c r="A35" s="114" t="s">
        <v>492</v>
      </c>
      <c r="B35" s="114" t="s">
        <v>493</v>
      </c>
      <c r="C35" s="114" t="s">
        <v>494</v>
      </c>
      <c r="D35" s="168" t="s">
        <v>428</v>
      </c>
      <c r="E35" s="114" t="s">
        <v>495</v>
      </c>
      <c r="F35" s="114" t="s">
        <v>495</v>
      </c>
      <c r="G35" s="17" t="s">
        <v>117</v>
      </c>
      <c r="H35" s="117" t="s">
        <v>430</v>
      </c>
      <c r="I35" s="22" t="s">
        <v>348</v>
      </c>
      <c r="J35" s="17" t="s">
        <v>117</v>
      </c>
      <c r="K35" s="117" t="s">
        <v>120</v>
      </c>
      <c r="L35" s="22" t="s">
        <v>431</v>
      </c>
      <c r="M35" s="144"/>
      <c r="N35" s="79"/>
      <c r="O35" s="79"/>
      <c r="P35" s="79"/>
      <c r="Q35" s="79"/>
      <c r="R35" s="79"/>
      <c r="S35" s="79"/>
      <c r="T35" s="79"/>
      <c r="U35" s="79"/>
      <c r="V35" s="79"/>
      <c r="W35" s="79"/>
      <c r="X35" s="79"/>
      <c r="Y35" s="79"/>
      <c r="Z35" s="79"/>
    </row>
    <row r="36" ht="15.75" customHeight="1">
      <c r="A36" s="114" t="s">
        <v>496</v>
      </c>
      <c r="B36" s="114" t="s">
        <v>497</v>
      </c>
      <c r="C36" s="114" t="s">
        <v>498</v>
      </c>
      <c r="D36" s="168" t="s">
        <v>428</v>
      </c>
      <c r="E36" s="114" t="s">
        <v>499</v>
      </c>
      <c r="F36" s="114" t="s">
        <v>499</v>
      </c>
      <c r="G36" s="17" t="s">
        <v>117</v>
      </c>
      <c r="H36" s="117" t="s">
        <v>430</v>
      </c>
      <c r="I36" s="22" t="s">
        <v>348</v>
      </c>
      <c r="J36" s="17" t="s">
        <v>117</v>
      </c>
      <c r="K36" s="117" t="s">
        <v>120</v>
      </c>
      <c r="L36" s="22" t="s">
        <v>431</v>
      </c>
      <c r="M36" s="144"/>
      <c r="N36" s="79"/>
      <c r="O36" s="79"/>
      <c r="P36" s="79"/>
      <c r="Q36" s="79"/>
      <c r="R36" s="79"/>
      <c r="S36" s="79"/>
      <c r="T36" s="79"/>
      <c r="U36" s="79"/>
      <c r="V36" s="79"/>
      <c r="W36" s="79"/>
      <c r="X36" s="79"/>
      <c r="Y36" s="79"/>
      <c r="Z36" s="79"/>
    </row>
    <row r="37" ht="15.75" customHeight="1">
      <c r="A37" s="114" t="s">
        <v>500</v>
      </c>
      <c r="B37" s="114" t="s">
        <v>26</v>
      </c>
      <c r="C37" s="114" t="s">
        <v>501</v>
      </c>
      <c r="D37" s="168" t="s">
        <v>428</v>
      </c>
      <c r="E37" s="114" t="s">
        <v>502</v>
      </c>
      <c r="F37" s="114" t="s">
        <v>502</v>
      </c>
      <c r="G37" s="17" t="s">
        <v>117</v>
      </c>
      <c r="H37" s="117" t="s">
        <v>430</v>
      </c>
      <c r="I37" s="22" t="s">
        <v>348</v>
      </c>
      <c r="J37" s="17" t="s">
        <v>117</v>
      </c>
      <c r="K37" s="117" t="s">
        <v>120</v>
      </c>
      <c r="L37" s="22" t="s">
        <v>431</v>
      </c>
      <c r="M37" s="144"/>
      <c r="N37" s="79"/>
      <c r="O37" s="79"/>
      <c r="P37" s="79"/>
      <c r="Q37" s="79"/>
      <c r="R37" s="79"/>
      <c r="S37" s="79"/>
      <c r="T37" s="79"/>
      <c r="U37" s="79"/>
      <c r="V37" s="79"/>
      <c r="W37" s="79"/>
      <c r="X37" s="79"/>
      <c r="Y37" s="79"/>
      <c r="Z37" s="79"/>
    </row>
    <row r="38" ht="15.75" customHeight="1">
      <c r="A38" s="114" t="s">
        <v>503</v>
      </c>
      <c r="B38" s="114" t="s">
        <v>27</v>
      </c>
      <c r="C38" s="114" t="s">
        <v>504</v>
      </c>
      <c r="D38" s="168" t="s">
        <v>428</v>
      </c>
      <c r="E38" s="114" t="s">
        <v>505</v>
      </c>
      <c r="F38" s="114" t="s">
        <v>505</v>
      </c>
      <c r="G38" s="17" t="s">
        <v>117</v>
      </c>
      <c r="H38" s="117" t="s">
        <v>430</v>
      </c>
      <c r="I38" s="22" t="s">
        <v>348</v>
      </c>
      <c r="J38" s="17" t="s">
        <v>117</v>
      </c>
      <c r="K38" s="117" t="s">
        <v>120</v>
      </c>
      <c r="L38" s="22" t="s">
        <v>431</v>
      </c>
      <c r="M38" s="169"/>
      <c r="N38" s="79"/>
      <c r="O38" s="79"/>
      <c r="P38" s="79"/>
      <c r="Q38" s="79"/>
      <c r="R38" s="79"/>
      <c r="S38" s="79"/>
      <c r="T38" s="79"/>
      <c r="U38" s="79"/>
      <c r="V38" s="79"/>
      <c r="W38" s="79"/>
      <c r="X38" s="79"/>
      <c r="Y38" s="79"/>
      <c r="Z38" s="79"/>
    </row>
    <row r="39" ht="15.75" customHeight="1">
      <c r="A39" s="114" t="s">
        <v>506</v>
      </c>
      <c r="B39" s="114" t="s">
        <v>28</v>
      </c>
      <c r="C39" s="114" t="s">
        <v>507</v>
      </c>
      <c r="D39" s="168" t="s">
        <v>428</v>
      </c>
      <c r="E39" s="114" t="s">
        <v>508</v>
      </c>
      <c r="F39" s="114" t="s">
        <v>508</v>
      </c>
      <c r="G39" s="17" t="s">
        <v>117</v>
      </c>
      <c r="H39" s="117" t="s">
        <v>430</v>
      </c>
      <c r="I39" s="22" t="s">
        <v>348</v>
      </c>
      <c r="J39" s="17" t="s">
        <v>117</v>
      </c>
      <c r="K39" s="117" t="s">
        <v>120</v>
      </c>
      <c r="L39" s="22" t="s">
        <v>431</v>
      </c>
      <c r="M39" s="169"/>
      <c r="N39" s="79"/>
      <c r="O39" s="79"/>
      <c r="P39" s="79"/>
      <c r="Q39" s="79"/>
      <c r="R39" s="79"/>
      <c r="S39" s="79"/>
      <c r="T39" s="79"/>
      <c r="U39" s="79"/>
      <c r="V39" s="79"/>
      <c r="W39" s="79"/>
      <c r="X39" s="79"/>
      <c r="Y39" s="79"/>
      <c r="Z39" s="79"/>
    </row>
    <row r="40" ht="15.75" customHeight="1">
      <c r="A40" s="114" t="s">
        <v>509</v>
      </c>
      <c r="B40" s="114" t="s">
        <v>29</v>
      </c>
      <c r="C40" s="114" t="s">
        <v>510</v>
      </c>
      <c r="D40" s="168" t="s">
        <v>428</v>
      </c>
      <c r="E40" s="114" t="s">
        <v>511</v>
      </c>
      <c r="F40" s="114" t="s">
        <v>511</v>
      </c>
      <c r="G40" s="17" t="s">
        <v>117</v>
      </c>
      <c r="H40" s="117" t="s">
        <v>430</v>
      </c>
      <c r="I40" s="22" t="s">
        <v>348</v>
      </c>
      <c r="J40" s="17" t="s">
        <v>117</v>
      </c>
      <c r="K40" s="117" t="s">
        <v>120</v>
      </c>
      <c r="L40" s="22" t="s">
        <v>431</v>
      </c>
      <c r="M40" s="169"/>
      <c r="N40" s="79"/>
      <c r="O40" s="79"/>
      <c r="P40" s="79"/>
      <c r="Q40" s="79"/>
      <c r="R40" s="79"/>
      <c r="S40" s="79"/>
      <c r="T40" s="79"/>
      <c r="U40" s="79"/>
      <c r="V40" s="79"/>
      <c r="W40" s="79"/>
      <c r="X40" s="79"/>
      <c r="Y40" s="79"/>
      <c r="Z40" s="79"/>
    </row>
    <row r="41" ht="15.7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5.7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5.7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5.7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5.7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5.7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5.7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5.7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5.7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5.7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5.7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5.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5.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5.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5.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5.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5.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5.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5.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5.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5.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5.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5.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5.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5.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5.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5.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5.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5.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5.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5.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5.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5.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5.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5.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5.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5.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5.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5.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5.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5.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5.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5.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5.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5.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5.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5.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5.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5.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5.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5.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5.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5.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5.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5.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5.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5.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5.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5.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5.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5.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5.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5.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5.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5.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5.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5.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5.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5.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5.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5.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5.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5.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5.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5.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5.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5.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5.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5.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5.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5.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5.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5.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5.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5.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5.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5.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5.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5.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5.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5.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5.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5.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5.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5.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5.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5.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5.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5.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5.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5.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5.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5.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5.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5.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5.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5.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5.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5.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5.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5.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5.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5.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5.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5.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5.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5.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5.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5.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5.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5.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5.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5.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5.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5.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5.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5.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5.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5.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5.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5.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5.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5.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5.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5.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5.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5.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5.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5.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5.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5.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5.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5.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5.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5.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5.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5.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5.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5.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5.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5.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5.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5.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5.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5.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5.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5.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5.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5.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5.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5.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5.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5.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5.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5.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5.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5.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5.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5.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5.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5.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5.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5.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5.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5.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5.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5.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5.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5.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5.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5.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5.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5.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5.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5.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5.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5.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5.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5.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5.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5.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5.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5.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5.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5.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5.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5.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5.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5.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5.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5.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5.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5.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5.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5.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5.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5.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5.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5.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5.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5.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5.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5.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5.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5.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5.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5.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5.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5.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5.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5.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5.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5.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5.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5.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5.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5.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5.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5.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5.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5.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5.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5.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5.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5.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5.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5.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5.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5.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5.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5.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5.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5.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5.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5.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5.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5.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5.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5.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5.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5.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5.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5.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5.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5.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5.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5.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5.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5.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5.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5.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5.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5.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5.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5.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5.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5.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5.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5.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5.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5.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5.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5.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5.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5.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5.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5.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5.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5.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5.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5.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5.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5.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5.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5.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5.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5.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5.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5.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5.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5.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5.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5.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5.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5.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5.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5.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5.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5.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5.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5.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5.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5.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5.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5.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5.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5.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5.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5.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5.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5.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5.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5.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5.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5.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5.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5.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5.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5.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5.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5.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5.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5.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5.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5.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5.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5.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5.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5.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5.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5.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5.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5.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5.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5.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5.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5.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5.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5.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5.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5.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5.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5.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5.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5.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5.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5.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5.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5.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5.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5.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5.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5.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5.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5.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5.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5.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5.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5.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5.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5.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5.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5.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5.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5.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5.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5.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5.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5.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5.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5.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5.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5.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5.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5.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5.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5.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5.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5.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5.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5.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5.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5.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5.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5.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5.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5.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5.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5.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5.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5.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5.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5.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5.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5.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5.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5.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5.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5.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5.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5.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5.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5.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5.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5.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5.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5.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5.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5.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5.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5.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5.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5.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5.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5.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5.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5.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5.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5.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5.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5.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5.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5.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5.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5.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5.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5.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5.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5.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5.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5.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5.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5.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5.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5.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5.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5.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5.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5.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5.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5.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5.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5.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5.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5.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5.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5.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5.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5.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5.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5.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5.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5.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5.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5.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5.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5.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5.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5.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5.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5.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5.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5.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5.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5.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5.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5.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5.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5.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5.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5.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5.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5.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5.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5.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5.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5.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5.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5.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5.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5.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5.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5.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5.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5.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5.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5.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5.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5.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5.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5.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5.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5.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5.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5.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5.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5.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5.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5.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5.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5.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5.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5.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5.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5.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5.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5.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5.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5.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5.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5.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5.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5.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5.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5.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5.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5.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5.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5.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5.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5.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5.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5.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5.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5.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5.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5.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5.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5.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5.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5.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5.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5.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5.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5.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5.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5.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5.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5.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5.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5.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5.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5.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5.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5.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5.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5.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5.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5.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5.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5.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5.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5.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5.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5.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5.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5.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5.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5.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5.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5.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5.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5.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5.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5.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5.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5.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5.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5.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5.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5.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5.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5.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5.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5.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5.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5.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5.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5.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5.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5.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5.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5.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5.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5.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5.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5.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5.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5.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5.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5.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5.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5.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5.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5.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5.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5.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5.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5.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5.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5.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5.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5.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5.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5.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5.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5.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5.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5.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5.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5.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5.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5.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5.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5.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5.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5.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5.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5.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5.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5.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5.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5.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5.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5.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5.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5.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5.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5.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5.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5.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5.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5.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5.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5.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5.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5.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5.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5.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5.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5.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5.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5.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5.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5.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5.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5.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5.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5.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5.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5.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5.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5.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5.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5.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5.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5.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5.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5.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5.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5.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5.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5.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5.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5.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5.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5.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5.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5.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5.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5.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5.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5.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5.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5.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5.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5.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5.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5.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5.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5.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5.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5.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5.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5.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5.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5.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5.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5.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5.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5.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5.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5.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5.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5.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5.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5.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5.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5.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5.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5.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5.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5.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5.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5.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5.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5.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5.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5.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5.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5.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5.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5.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5.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5.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5.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5.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5.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5.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5.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5.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5.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5.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5.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5.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5.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5.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5.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5.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5.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5.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5.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5.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5.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5.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5.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5.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5.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5.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5.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5.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5.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5.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5.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5.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5.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5.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5.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5.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5.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5.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5.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5.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5.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5.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5.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5.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5.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5.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5.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5.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5.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5.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5.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5.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5.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5.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5.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5.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5.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5.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5.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5.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5.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5.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5.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5.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5.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5.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5.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5.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5.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5.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5.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5.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5.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5.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5.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5.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5.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5.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5.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5.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5.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5.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5.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5.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5.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5.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5.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5.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5.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5.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5.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5.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5.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5.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5.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5.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5.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5.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5.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5.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5.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5.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5.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5.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5.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5.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5.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5.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5.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5.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5.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5.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5.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5.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5.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5.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5.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5.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5.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5.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5.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5.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5.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5.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5.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5.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5.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5.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5.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5.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5.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5.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5.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5.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5.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5.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5.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5.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5.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5.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5.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5.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5.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5.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5.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5.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5.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5.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5.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5.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5.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5.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5.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5.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5.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5.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5.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5.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5.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5.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5.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5.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5.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5.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5.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5.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5.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5.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5.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5.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5.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5.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5.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5.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5.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5.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5.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5.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5.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5.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5.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5.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5.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5.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5.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5.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5.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5.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5.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5.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5.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5.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5.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5.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5.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5.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5.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5.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5.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5.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5.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5.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5.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5.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5.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5.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5.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5.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5.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5.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5.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5.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5.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5.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5.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5.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5.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5.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5.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5.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5.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5.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5.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5.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5.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5.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5.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5.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5.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5.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5.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5.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5.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5.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5.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5.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5.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5.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5.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5.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5.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5.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5.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5.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5.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5.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5.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15">
    <mergeCell ref="F7:F9"/>
    <mergeCell ref="G7:I7"/>
    <mergeCell ref="J7:L7"/>
    <mergeCell ref="M7:M9"/>
    <mergeCell ref="G8:I8"/>
    <mergeCell ref="J8:L8"/>
    <mergeCell ref="A10:M10"/>
    <mergeCell ref="A27:M27"/>
    <mergeCell ref="B1:F1"/>
    <mergeCell ref="B2:F2"/>
    <mergeCell ref="A7:A9"/>
    <mergeCell ref="B7:B9"/>
    <mergeCell ref="C7:C9"/>
    <mergeCell ref="D7:D9"/>
    <mergeCell ref="E7:E9"/>
  </mergeCells>
  <dataValidations>
    <dataValidation type="list" allowBlank="1" showErrorMessage="1" sqref="G11:G26 J11:J26 G28:G40 J28:J40">
      <formula1>"Passed,Untested,Failed,Blocked"</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5.14"/>
    <col customWidth="1" min="2" max="2" width="27.43"/>
    <col customWidth="1" min="3" max="3" width="43.57"/>
    <col customWidth="1" min="4" max="4" width="68.29"/>
    <col customWidth="1" min="5" max="5" width="69.29"/>
    <col customWidth="1" min="6" max="6" width="26.29"/>
    <col customWidth="1" min="7" max="7" width="18.14"/>
    <col customWidth="1" min="8" max="9" width="18.71"/>
    <col customWidth="1" min="10" max="10" width="18.43"/>
    <col customWidth="1" min="11" max="11" width="16.57"/>
    <col customWidth="1" min="12" max="12" width="10.57"/>
    <col customWidth="1" min="13" max="26" width="9.14"/>
  </cols>
  <sheetData>
    <row r="1" ht="15.75" customHeight="1">
      <c r="A1" s="95" t="s">
        <v>98</v>
      </c>
      <c r="B1" s="96" t="s">
        <v>2</v>
      </c>
      <c r="C1" s="97"/>
      <c r="D1" s="97"/>
      <c r="E1" s="97"/>
      <c r="F1" s="98"/>
      <c r="G1" s="4"/>
      <c r="H1" s="4"/>
      <c r="I1" s="4"/>
      <c r="J1" s="4"/>
      <c r="K1" s="4"/>
      <c r="L1" s="4"/>
      <c r="M1" s="4"/>
      <c r="N1" s="4"/>
      <c r="O1" s="4"/>
      <c r="P1" s="4"/>
      <c r="Q1" s="4"/>
      <c r="R1" s="4"/>
      <c r="S1" s="4"/>
      <c r="T1" s="4"/>
      <c r="U1" s="4"/>
      <c r="V1" s="4"/>
      <c r="W1" s="4"/>
      <c r="X1" s="4"/>
      <c r="Y1" s="4"/>
      <c r="Z1" s="4"/>
    </row>
    <row r="2" ht="15.75" customHeight="1">
      <c r="A2" s="95" t="s">
        <v>99</v>
      </c>
      <c r="B2" s="99" t="s">
        <v>512</v>
      </c>
      <c r="C2" s="97"/>
      <c r="D2" s="97"/>
      <c r="E2" s="97"/>
      <c r="F2" s="98"/>
      <c r="G2" s="4"/>
      <c r="H2" s="4"/>
      <c r="I2" s="4"/>
      <c r="J2" s="4"/>
      <c r="K2" s="4"/>
      <c r="L2" s="4"/>
      <c r="M2" s="4"/>
      <c r="N2" s="4"/>
      <c r="O2" s="4"/>
      <c r="P2" s="4"/>
      <c r="Q2" s="4"/>
      <c r="R2" s="4"/>
      <c r="S2" s="4"/>
      <c r="T2" s="4"/>
      <c r="U2" s="4"/>
      <c r="V2" s="4"/>
      <c r="W2" s="4"/>
      <c r="X2" s="4"/>
      <c r="Y2" s="4"/>
      <c r="Z2" s="4"/>
    </row>
    <row r="3" ht="16.5" customHeight="1">
      <c r="A3" s="100"/>
      <c r="B3" s="101" t="s">
        <v>73</v>
      </c>
      <c r="C3" s="101" t="s">
        <v>74</v>
      </c>
      <c r="D3" s="101" t="s">
        <v>100</v>
      </c>
      <c r="E3" s="102" t="s">
        <v>76</v>
      </c>
      <c r="F3" s="101" t="s">
        <v>101</v>
      </c>
      <c r="G3" s="4"/>
      <c r="H3" s="4"/>
      <c r="I3" s="4"/>
      <c r="J3" s="4"/>
      <c r="K3" s="4"/>
      <c r="L3" s="4"/>
      <c r="M3" s="4"/>
      <c r="N3" s="4"/>
      <c r="O3" s="4"/>
      <c r="P3" s="4"/>
      <c r="Q3" s="4"/>
      <c r="R3" s="4"/>
      <c r="S3" s="4"/>
      <c r="T3" s="4"/>
      <c r="U3" s="4"/>
      <c r="V3" s="4"/>
      <c r="W3" s="4"/>
      <c r="X3" s="4"/>
      <c r="Y3" s="4"/>
      <c r="Z3" s="4"/>
    </row>
    <row r="4" ht="16.5" customHeight="1">
      <c r="A4" s="51" t="s">
        <v>102</v>
      </c>
      <c r="B4" s="100">
        <v>20.0</v>
      </c>
      <c r="C4" s="100">
        <v>1.0</v>
      </c>
      <c r="D4" s="100">
        <v>0.0</v>
      </c>
      <c r="E4" s="100">
        <v>0.0</v>
      </c>
      <c r="F4" s="100">
        <f t="shared" ref="F4:F5" si="1">B4</f>
        <v>20</v>
      </c>
      <c r="G4" s="4"/>
      <c r="H4" s="4"/>
      <c r="I4" s="4"/>
      <c r="J4" s="4"/>
      <c r="K4" s="4"/>
      <c r="L4" s="4"/>
      <c r="M4" s="4"/>
      <c r="N4" s="4"/>
      <c r="O4" s="4"/>
      <c r="P4" s="4"/>
      <c r="Q4" s="4"/>
      <c r="R4" s="4"/>
      <c r="S4" s="4"/>
      <c r="T4" s="4"/>
      <c r="U4" s="4"/>
      <c r="V4" s="4"/>
      <c r="W4" s="4"/>
      <c r="X4" s="4"/>
      <c r="Y4" s="4"/>
      <c r="Z4" s="4"/>
    </row>
    <row r="5" ht="16.5" customHeight="1">
      <c r="A5" s="51" t="s">
        <v>103</v>
      </c>
      <c r="B5" s="100">
        <v>20.0</v>
      </c>
      <c r="C5" s="100">
        <v>1.0</v>
      </c>
      <c r="D5" s="100">
        <v>0.0</v>
      </c>
      <c r="E5" s="103">
        <v>0.0</v>
      </c>
      <c r="F5" s="100">
        <f t="shared" si="1"/>
        <v>20</v>
      </c>
      <c r="G5" s="4"/>
      <c r="H5" s="4"/>
      <c r="I5" s="4"/>
      <c r="J5" s="4"/>
      <c r="K5" s="4"/>
      <c r="L5" s="4"/>
      <c r="M5" s="4"/>
      <c r="N5" s="4"/>
      <c r="O5" s="4"/>
      <c r="P5" s="4"/>
      <c r="Q5" s="4"/>
      <c r="R5" s="4"/>
      <c r="S5" s="4"/>
      <c r="T5" s="4"/>
      <c r="U5" s="4"/>
      <c r="V5" s="4"/>
      <c r="W5" s="4"/>
      <c r="X5" s="4"/>
      <c r="Y5" s="4"/>
      <c r="Z5" s="4"/>
    </row>
    <row r="6" ht="198.0" customHeight="1">
      <c r="A6" s="4"/>
      <c r="B6" s="4"/>
      <c r="C6" s="4"/>
      <c r="D6" s="4"/>
      <c r="E6" s="4"/>
      <c r="F6" s="4"/>
      <c r="G6" s="4"/>
      <c r="H6" s="4"/>
      <c r="I6" s="4"/>
      <c r="J6" s="4"/>
      <c r="K6" s="4"/>
      <c r="L6" s="4"/>
      <c r="M6" s="4"/>
      <c r="N6" s="4"/>
      <c r="O6" s="4"/>
      <c r="P6" s="4"/>
      <c r="Q6" s="4"/>
      <c r="R6" s="4"/>
      <c r="S6" s="4"/>
      <c r="T6" s="4"/>
      <c r="U6" s="4"/>
      <c r="V6" s="4"/>
      <c r="W6" s="4"/>
      <c r="X6" s="4"/>
      <c r="Y6" s="4"/>
      <c r="Z6" s="4"/>
    </row>
    <row r="7" ht="167.25" customHeight="1">
      <c r="A7" s="4"/>
      <c r="B7" s="4"/>
      <c r="C7" s="4"/>
      <c r="D7" s="4"/>
      <c r="E7" s="4"/>
      <c r="F7" s="4"/>
      <c r="G7" s="4"/>
      <c r="H7" s="4"/>
      <c r="I7" s="4"/>
      <c r="J7" s="4"/>
      <c r="K7" s="4"/>
      <c r="L7" s="4"/>
      <c r="M7" s="4"/>
      <c r="N7" s="4"/>
      <c r="O7" s="4"/>
      <c r="P7" s="4"/>
      <c r="Q7" s="4"/>
      <c r="R7" s="4"/>
      <c r="S7" s="4"/>
      <c r="T7" s="4"/>
      <c r="U7" s="4"/>
      <c r="V7" s="4"/>
      <c r="W7" s="4"/>
      <c r="X7" s="4"/>
      <c r="Y7" s="4"/>
      <c r="Z7" s="4"/>
    </row>
    <row r="8" ht="16.5" hidden="1" customHeight="1">
      <c r="A8" s="4"/>
      <c r="B8" s="4"/>
      <c r="C8" s="4"/>
      <c r="D8" s="4"/>
      <c r="E8" s="4"/>
      <c r="F8" s="4"/>
      <c r="G8" s="4"/>
      <c r="H8" s="4"/>
      <c r="I8" s="4"/>
      <c r="J8" s="4"/>
      <c r="K8" s="4"/>
      <c r="L8" s="4"/>
      <c r="M8" s="4"/>
      <c r="N8" s="4"/>
      <c r="O8" s="4"/>
      <c r="P8" s="4"/>
      <c r="Q8" s="4"/>
      <c r="R8" s="4"/>
      <c r="S8" s="4"/>
      <c r="T8" s="4"/>
      <c r="U8" s="4"/>
      <c r="V8" s="4"/>
      <c r="W8" s="4"/>
      <c r="X8" s="4"/>
      <c r="Y8" s="4"/>
      <c r="Z8" s="4"/>
    </row>
    <row r="9" ht="16.5" hidden="1" customHeight="1">
      <c r="A9" s="4"/>
      <c r="B9" s="4"/>
      <c r="C9" s="4"/>
      <c r="D9" s="4"/>
      <c r="E9" s="4"/>
      <c r="F9" s="4"/>
      <c r="G9" s="4"/>
      <c r="H9" s="4"/>
      <c r="I9" s="4"/>
      <c r="J9" s="4"/>
      <c r="K9" s="4"/>
      <c r="L9" s="4"/>
      <c r="M9" s="4"/>
      <c r="N9" s="4"/>
      <c r="O9" s="4"/>
      <c r="P9" s="4"/>
      <c r="Q9" s="4"/>
      <c r="R9" s="4"/>
      <c r="S9" s="4"/>
      <c r="T9" s="4"/>
      <c r="U9" s="4"/>
      <c r="V9" s="4"/>
      <c r="W9" s="4"/>
      <c r="X9" s="4"/>
      <c r="Y9" s="4"/>
      <c r="Z9" s="4"/>
    </row>
    <row r="10" ht="16.5" hidden="1"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6.5" hidden="1"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6.5" hidden="1"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6.5" hidden="1"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6.5" hidden="1"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6.5" hidden="1"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6.5" hidden="1"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6.5" hidden="1"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6.5" hidden="1"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6.5" hidden="1"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6.5" hidden="1"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6.5" hidden="1"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6.5" hidden="1"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6.5" hidden="1"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6.5" hidden="1"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6.5" hidden="1"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6.5" hidden="1"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6.5" hidden="1"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6.5" hidden="1"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6.5" hidden="1"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6.5" hidden="1"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6.5" customHeight="1">
      <c r="A31" s="145" t="s">
        <v>104</v>
      </c>
      <c r="B31" s="145" t="s">
        <v>7</v>
      </c>
      <c r="C31" s="145" t="s">
        <v>105</v>
      </c>
      <c r="D31" s="145" t="s">
        <v>106</v>
      </c>
      <c r="E31" s="145" t="s">
        <v>107</v>
      </c>
      <c r="F31" s="146" t="s">
        <v>108</v>
      </c>
      <c r="G31" s="97"/>
      <c r="H31" s="97"/>
      <c r="I31" s="97"/>
      <c r="J31" s="97"/>
      <c r="K31" s="98"/>
      <c r="L31" s="145" t="s">
        <v>109</v>
      </c>
      <c r="M31" s="4"/>
      <c r="N31" s="4"/>
      <c r="O31" s="4"/>
      <c r="P31" s="4"/>
      <c r="Q31" s="4"/>
      <c r="R31" s="4"/>
      <c r="S31" s="4"/>
      <c r="T31" s="4"/>
      <c r="U31" s="4"/>
      <c r="V31" s="4"/>
      <c r="W31" s="4"/>
      <c r="X31" s="4"/>
      <c r="Y31" s="4"/>
      <c r="Z31" s="4"/>
    </row>
    <row r="32" ht="16.5" customHeight="1">
      <c r="A32" s="21"/>
      <c r="B32" s="21"/>
      <c r="C32" s="21"/>
      <c r="D32" s="21"/>
      <c r="E32" s="21"/>
      <c r="F32" s="146" t="s">
        <v>81</v>
      </c>
      <c r="G32" s="97"/>
      <c r="H32" s="98"/>
      <c r="I32" s="146" t="s">
        <v>82</v>
      </c>
      <c r="J32" s="97"/>
      <c r="K32" s="98"/>
      <c r="L32" s="21"/>
      <c r="M32" s="4"/>
      <c r="N32" s="4"/>
      <c r="O32" s="4"/>
      <c r="P32" s="4"/>
      <c r="Q32" s="4"/>
      <c r="R32" s="4"/>
      <c r="S32" s="4"/>
      <c r="T32" s="4"/>
      <c r="U32" s="4"/>
      <c r="V32" s="4"/>
      <c r="W32" s="4"/>
      <c r="X32" s="4"/>
      <c r="Y32" s="4"/>
      <c r="Z32" s="4"/>
    </row>
    <row r="33" ht="16.5" customHeight="1">
      <c r="A33" s="23"/>
      <c r="B33" s="23"/>
      <c r="C33" s="23"/>
      <c r="D33" s="23"/>
      <c r="E33" s="23"/>
      <c r="F33" s="147" t="s">
        <v>110</v>
      </c>
      <c r="G33" s="148" t="s">
        <v>111</v>
      </c>
      <c r="H33" s="147" t="s">
        <v>112</v>
      </c>
      <c r="I33" s="147" t="s">
        <v>110</v>
      </c>
      <c r="J33" s="147" t="s">
        <v>111</v>
      </c>
      <c r="K33" s="147" t="s">
        <v>112</v>
      </c>
      <c r="L33" s="23"/>
      <c r="M33" s="4"/>
      <c r="N33" s="4"/>
      <c r="O33" s="4"/>
      <c r="P33" s="4"/>
      <c r="Q33" s="4"/>
      <c r="R33" s="4"/>
      <c r="S33" s="4"/>
      <c r="T33" s="4"/>
      <c r="U33" s="4"/>
      <c r="V33" s="4"/>
      <c r="W33" s="4"/>
      <c r="X33" s="4"/>
      <c r="Y33" s="4"/>
      <c r="Z33" s="4"/>
    </row>
    <row r="34" ht="17.25" customHeight="1">
      <c r="A34" s="149" t="s">
        <v>513</v>
      </c>
      <c r="B34" s="97"/>
      <c r="C34" s="97"/>
      <c r="D34" s="97"/>
      <c r="E34" s="97"/>
      <c r="F34" s="97"/>
      <c r="G34" s="97"/>
      <c r="H34" s="97"/>
      <c r="I34" s="97"/>
      <c r="J34" s="97"/>
      <c r="K34" s="97"/>
      <c r="L34" s="98"/>
      <c r="M34" s="4"/>
      <c r="N34" s="4"/>
      <c r="O34" s="4"/>
      <c r="P34" s="4"/>
      <c r="Q34" s="4"/>
      <c r="R34" s="4"/>
      <c r="S34" s="4"/>
      <c r="T34" s="4"/>
      <c r="U34" s="4"/>
      <c r="V34" s="4"/>
      <c r="W34" s="4"/>
      <c r="X34" s="4"/>
      <c r="Y34" s="4"/>
      <c r="Z34" s="4"/>
    </row>
    <row r="35" ht="57.0" customHeight="1">
      <c r="A35" s="125" t="s">
        <v>514</v>
      </c>
      <c r="B35" s="114" t="s">
        <v>515</v>
      </c>
      <c r="C35" s="115"/>
      <c r="D35" s="114" t="s">
        <v>136</v>
      </c>
      <c r="E35" s="114" t="s">
        <v>136</v>
      </c>
      <c r="F35" s="17" t="s">
        <v>117</v>
      </c>
      <c r="G35" s="117" t="s">
        <v>430</v>
      </c>
      <c r="H35" s="22" t="s">
        <v>348</v>
      </c>
      <c r="I35" s="17" t="s">
        <v>117</v>
      </c>
      <c r="J35" s="117" t="s">
        <v>120</v>
      </c>
      <c r="K35" s="22" t="s">
        <v>431</v>
      </c>
      <c r="L35" s="115"/>
      <c r="M35" s="4"/>
      <c r="N35" s="4"/>
      <c r="O35" s="4"/>
      <c r="P35" s="4"/>
      <c r="Q35" s="4"/>
      <c r="R35" s="4"/>
      <c r="S35" s="4"/>
      <c r="T35" s="4"/>
      <c r="U35" s="4"/>
      <c r="V35" s="4"/>
      <c r="W35" s="4"/>
      <c r="X35" s="4"/>
      <c r="Y35" s="4"/>
      <c r="Z35" s="4"/>
    </row>
    <row r="36" ht="54.0" customHeight="1">
      <c r="A36" s="125" t="s">
        <v>516</v>
      </c>
      <c r="B36" s="125" t="s">
        <v>517</v>
      </c>
      <c r="C36" s="115"/>
      <c r="D36" s="114" t="s">
        <v>136</v>
      </c>
      <c r="E36" s="114" t="s">
        <v>136</v>
      </c>
      <c r="F36" s="17" t="s">
        <v>117</v>
      </c>
      <c r="G36" s="117" t="s">
        <v>430</v>
      </c>
      <c r="H36" s="22" t="s">
        <v>348</v>
      </c>
      <c r="I36" s="17" t="s">
        <v>117</v>
      </c>
      <c r="J36" s="117" t="s">
        <v>120</v>
      </c>
      <c r="K36" s="22" t="s">
        <v>431</v>
      </c>
      <c r="L36" s="115"/>
      <c r="M36" s="4"/>
      <c r="N36" s="4"/>
      <c r="O36" s="4"/>
      <c r="P36" s="4"/>
      <c r="Q36" s="4"/>
      <c r="R36" s="4"/>
      <c r="S36" s="4"/>
      <c r="T36" s="4"/>
      <c r="U36" s="4"/>
      <c r="V36" s="4"/>
      <c r="W36" s="4"/>
      <c r="X36" s="4"/>
      <c r="Y36" s="4"/>
      <c r="Z36" s="4"/>
    </row>
    <row r="37" ht="54.75" customHeight="1">
      <c r="A37" s="125" t="s">
        <v>518</v>
      </c>
      <c r="B37" s="125" t="s">
        <v>519</v>
      </c>
      <c r="C37" s="115"/>
      <c r="D37" s="114" t="s">
        <v>520</v>
      </c>
      <c r="E37" s="114" t="s">
        <v>520</v>
      </c>
      <c r="F37" s="17" t="s">
        <v>117</v>
      </c>
      <c r="G37" s="117" t="s">
        <v>430</v>
      </c>
      <c r="H37" s="22" t="s">
        <v>348</v>
      </c>
      <c r="I37" s="17" t="s">
        <v>117</v>
      </c>
      <c r="J37" s="117" t="s">
        <v>120</v>
      </c>
      <c r="K37" s="22" t="s">
        <v>431</v>
      </c>
      <c r="L37" s="115"/>
      <c r="M37" s="4"/>
      <c r="N37" s="4"/>
      <c r="O37" s="4"/>
      <c r="P37" s="4"/>
      <c r="Q37" s="4"/>
      <c r="R37" s="4"/>
      <c r="S37" s="4"/>
      <c r="T37" s="4"/>
      <c r="U37" s="4"/>
      <c r="V37" s="4"/>
      <c r="W37" s="4"/>
      <c r="X37" s="4"/>
      <c r="Y37" s="4"/>
      <c r="Z37" s="4"/>
    </row>
    <row r="38" ht="57.0" customHeight="1">
      <c r="A38" s="125" t="s">
        <v>521</v>
      </c>
      <c r="B38" s="125" t="s">
        <v>522</v>
      </c>
      <c r="C38" s="115"/>
      <c r="D38" s="114" t="s">
        <v>523</v>
      </c>
      <c r="E38" s="114" t="s">
        <v>523</v>
      </c>
      <c r="F38" s="17" t="s">
        <v>117</v>
      </c>
      <c r="G38" s="117" t="s">
        <v>430</v>
      </c>
      <c r="H38" s="22" t="s">
        <v>348</v>
      </c>
      <c r="I38" s="17" t="s">
        <v>117</v>
      </c>
      <c r="J38" s="117" t="s">
        <v>120</v>
      </c>
      <c r="K38" s="22" t="s">
        <v>431</v>
      </c>
      <c r="L38" s="115"/>
      <c r="M38" s="4"/>
      <c r="N38" s="4"/>
      <c r="O38" s="4"/>
      <c r="P38" s="4"/>
      <c r="Q38" s="4"/>
      <c r="R38" s="4"/>
      <c r="S38" s="4"/>
      <c r="T38" s="4"/>
      <c r="U38" s="4"/>
      <c r="V38" s="4"/>
      <c r="W38" s="4"/>
      <c r="X38" s="4"/>
      <c r="Y38" s="4"/>
      <c r="Z38" s="4"/>
    </row>
    <row r="39" ht="57.75" customHeight="1">
      <c r="A39" s="125" t="s">
        <v>524</v>
      </c>
      <c r="B39" s="125" t="s">
        <v>525</v>
      </c>
      <c r="C39" s="115"/>
      <c r="D39" s="114" t="s">
        <v>526</v>
      </c>
      <c r="E39" s="114" t="s">
        <v>526</v>
      </c>
      <c r="F39" s="17" t="s">
        <v>117</v>
      </c>
      <c r="G39" s="117" t="s">
        <v>430</v>
      </c>
      <c r="H39" s="22" t="s">
        <v>348</v>
      </c>
      <c r="I39" s="17" t="s">
        <v>117</v>
      </c>
      <c r="J39" s="117" t="s">
        <v>120</v>
      </c>
      <c r="K39" s="22" t="s">
        <v>431</v>
      </c>
      <c r="L39" s="115"/>
      <c r="M39" s="4"/>
      <c r="N39" s="4"/>
      <c r="O39" s="4"/>
      <c r="P39" s="4"/>
      <c r="Q39" s="4"/>
      <c r="R39" s="4"/>
      <c r="S39" s="4"/>
      <c r="T39" s="4"/>
      <c r="U39" s="4"/>
      <c r="V39" s="4"/>
      <c r="W39" s="4"/>
      <c r="X39" s="4"/>
      <c r="Y39" s="4"/>
      <c r="Z39" s="4"/>
    </row>
    <row r="40" ht="34.5" customHeight="1">
      <c r="A40" s="125" t="s">
        <v>527</v>
      </c>
      <c r="B40" s="115" t="s">
        <v>528</v>
      </c>
      <c r="C40" s="115"/>
      <c r="D40" s="114" t="s">
        <v>429</v>
      </c>
      <c r="E40" s="114" t="s">
        <v>429</v>
      </c>
      <c r="F40" s="17" t="s">
        <v>117</v>
      </c>
      <c r="G40" s="117" t="s">
        <v>430</v>
      </c>
      <c r="H40" s="22" t="s">
        <v>348</v>
      </c>
      <c r="I40" s="17" t="s">
        <v>117</v>
      </c>
      <c r="J40" s="117" t="s">
        <v>120</v>
      </c>
      <c r="K40" s="22" t="s">
        <v>431</v>
      </c>
      <c r="L40" s="115"/>
      <c r="M40" s="121"/>
      <c r="N40" s="4"/>
      <c r="O40" s="4"/>
      <c r="P40" s="4"/>
      <c r="Q40" s="4"/>
      <c r="R40" s="4"/>
      <c r="S40" s="4"/>
      <c r="T40" s="4"/>
      <c r="U40" s="4"/>
      <c r="V40" s="4"/>
      <c r="W40" s="4"/>
      <c r="X40" s="4"/>
      <c r="Y40" s="4"/>
      <c r="Z40" s="4"/>
    </row>
    <row r="41" ht="49.5" customHeight="1">
      <c r="A41" s="125" t="s">
        <v>529</v>
      </c>
      <c r="B41" s="114" t="s">
        <v>530</v>
      </c>
      <c r="C41" s="115"/>
      <c r="D41" s="114" t="s">
        <v>531</v>
      </c>
      <c r="E41" s="114" t="s">
        <v>531</v>
      </c>
      <c r="F41" s="17" t="s">
        <v>117</v>
      </c>
      <c r="G41" s="117" t="s">
        <v>430</v>
      </c>
      <c r="H41" s="22" t="s">
        <v>348</v>
      </c>
      <c r="I41" s="17" t="s">
        <v>117</v>
      </c>
      <c r="J41" s="117" t="s">
        <v>120</v>
      </c>
      <c r="K41" s="22" t="s">
        <v>431</v>
      </c>
      <c r="L41" s="115"/>
      <c r="M41" s="4"/>
      <c r="N41" s="4"/>
      <c r="O41" s="4"/>
      <c r="P41" s="4"/>
      <c r="Q41" s="4"/>
      <c r="R41" s="4"/>
      <c r="S41" s="4"/>
      <c r="T41" s="4"/>
      <c r="U41" s="4"/>
      <c r="V41" s="4"/>
      <c r="W41" s="4"/>
      <c r="X41" s="4"/>
      <c r="Y41" s="4"/>
      <c r="Z41" s="4"/>
    </row>
    <row r="42" ht="62.25" customHeight="1">
      <c r="A42" s="125" t="s">
        <v>532</v>
      </c>
      <c r="B42" s="114" t="s">
        <v>533</v>
      </c>
      <c r="C42" s="115"/>
      <c r="D42" s="114" t="s">
        <v>354</v>
      </c>
      <c r="E42" s="114" t="s">
        <v>354</v>
      </c>
      <c r="F42" s="17" t="s">
        <v>117</v>
      </c>
      <c r="G42" s="117" t="s">
        <v>430</v>
      </c>
      <c r="H42" s="22" t="s">
        <v>348</v>
      </c>
      <c r="I42" s="17" t="s">
        <v>117</v>
      </c>
      <c r="J42" s="117" t="s">
        <v>120</v>
      </c>
      <c r="K42" s="22" t="s">
        <v>431</v>
      </c>
      <c r="L42" s="100"/>
      <c r="M42" s="4"/>
      <c r="N42" s="4"/>
      <c r="O42" s="4"/>
      <c r="P42" s="4"/>
      <c r="Q42" s="4"/>
      <c r="R42" s="4"/>
      <c r="S42" s="4"/>
      <c r="T42" s="4"/>
      <c r="U42" s="4"/>
      <c r="V42" s="4"/>
      <c r="W42" s="4"/>
      <c r="X42" s="4"/>
      <c r="Y42" s="4"/>
      <c r="Z42" s="4"/>
    </row>
    <row r="43" ht="51.0" customHeight="1">
      <c r="A43" s="125" t="s">
        <v>534</v>
      </c>
      <c r="B43" s="115" t="s">
        <v>535</v>
      </c>
      <c r="C43" s="115"/>
      <c r="D43" s="114" t="s">
        <v>536</v>
      </c>
      <c r="E43" s="114" t="s">
        <v>536</v>
      </c>
      <c r="F43" s="17" t="s">
        <v>117</v>
      </c>
      <c r="G43" s="117" t="s">
        <v>430</v>
      </c>
      <c r="H43" s="22" t="s">
        <v>348</v>
      </c>
      <c r="I43" s="17" t="s">
        <v>117</v>
      </c>
      <c r="J43" s="117" t="s">
        <v>120</v>
      </c>
      <c r="K43" s="22" t="s">
        <v>431</v>
      </c>
      <c r="L43" s="100"/>
      <c r="M43" s="4"/>
      <c r="N43" s="4"/>
      <c r="O43" s="4"/>
      <c r="P43" s="4"/>
      <c r="Q43" s="4"/>
      <c r="R43" s="4"/>
      <c r="S43" s="4"/>
      <c r="T43" s="4"/>
      <c r="U43" s="4"/>
      <c r="V43" s="4"/>
      <c r="W43" s="4"/>
      <c r="X43" s="4"/>
      <c r="Y43" s="4"/>
      <c r="Z43" s="4"/>
    </row>
    <row r="44" ht="57.0" customHeight="1">
      <c r="A44" s="170" t="s">
        <v>537</v>
      </c>
      <c r="B44" s="97"/>
      <c r="C44" s="97"/>
      <c r="D44" s="97"/>
      <c r="E44" s="97"/>
      <c r="F44" s="97"/>
      <c r="G44" s="97"/>
      <c r="H44" s="97"/>
      <c r="I44" s="97"/>
      <c r="J44" s="97"/>
      <c r="K44" s="97"/>
      <c r="L44" s="98"/>
      <c r="M44" s="4"/>
      <c r="N44" s="4"/>
      <c r="O44" s="4"/>
      <c r="P44" s="4"/>
      <c r="Q44" s="4"/>
      <c r="R44" s="4"/>
      <c r="S44" s="4"/>
      <c r="T44" s="4"/>
      <c r="U44" s="4"/>
      <c r="V44" s="4"/>
      <c r="W44" s="4"/>
      <c r="X44" s="4"/>
      <c r="Y44" s="4"/>
      <c r="Z44" s="4"/>
    </row>
    <row r="45" ht="16.5" customHeight="1">
      <c r="A45" s="125" t="s">
        <v>538</v>
      </c>
      <c r="B45" s="114" t="s">
        <v>30</v>
      </c>
      <c r="C45" s="114" t="s">
        <v>539</v>
      </c>
      <c r="D45" s="168" t="s">
        <v>540</v>
      </c>
      <c r="E45" s="168" t="s">
        <v>540</v>
      </c>
      <c r="F45" s="17" t="s">
        <v>117</v>
      </c>
      <c r="G45" s="117" t="s">
        <v>430</v>
      </c>
      <c r="H45" s="22" t="s">
        <v>348</v>
      </c>
      <c r="I45" s="17" t="s">
        <v>117</v>
      </c>
      <c r="J45" s="117" t="s">
        <v>120</v>
      </c>
      <c r="K45" s="22" t="s">
        <v>431</v>
      </c>
      <c r="L45" s="115"/>
      <c r="M45" s="4"/>
      <c r="N45" s="4"/>
      <c r="O45" s="4"/>
      <c r="P45" s="4"/>
      <c r="Q45" s="4"/>
      <c r="R45" s="4"/>
      <c r="S45" s="4"/>
      <c r="T45" s="4"/>
      <c r="U45" s="4"/>
      <c r="V45" s="4"/>
      <c r="W45" s="4"/>
      <c r="X45" s="4"/>
      <c r="Y45" s="4"/>
      <c r="Z45" s="4"/>
    </row>
    <row r="46" ht="16.5" customHeight="1">
      <c r="A46" s="125" t="s">
        <v>541</v>
      </c>
      <c r="B46" s="114" t="s">
        <v>542</v>
      </c>
      <c r="C46" s="114" t="s">
        <v>543</v>
      </c>
      <c r="D46" s="168" t="s">
        <v>544</v>
      </c>
      <c r="E46" s="168" t="s">
        <v>544</v>
      </c>
      <c r="F46" s="17" t="s">
        <v>117</v>
      </c>
      <c r="G46" s="117" t="s">
        <v>430</v>
      </c>
      <c r="H46" s="22" t="s">
        <v>348</v>
      </c>
      <c r="I46" s="17" t="s">
        <v>117</v>
      </c>
      <c r="J46" s="117" t="s">
        <v>120</v>
      </c>
      <c r="K46" s="22" t="s">
        <v>431</v>
      </c>
      <c r="L46" s="115"/>
      <c r="M46" s="4"/>
      <c r="N46" s="4"/>
      <c r="O46" s="4"/>
      <c r="P46" s="4"/>
      <c r="Q46" s="4"/>
      <c r="R46" s="4"/>
      <c r="S46" s="4"/>
      <c r="T46" s="4"/>
      <c r="U46" s="4"/>
      <c r="V46" s="4"/>
      <c r="W46" s="4"/>
      <c r="X46" s="4"/>
      <c r="Y46" s="4"/>
      <c r="Z46" s="4"/>
    </row>
    <row r="47" ht="16.5" customHeight="1">
      <c r="A47" s="125" t="s">
        <v>545</v>
      </c>
      <c r="B47" s="114" t="s">
        <v>546</v>
      </c>
      <c r="C47" s="114" t="s">
        <v>547</v>
      </c>
      <c r="D47" s="168" t="s">
        <v>548</v>
      </c>
      <c r="E47" s="168" t="s">
        <v>548</v>
      </c>
      <c r="F47" s="17" t="s">
        <v>117</v>
      </c>
      <c r="G47" s="117" t="s">
        <v>430</v>
      </c>
      <c r="H47" s="22" t="s">
        <v>348</v>
      </c>
      <c r="I47" s="17" t="s">
        <v>117</v>
      </c>
      <c r="J47" s="117" t="s">
        <v>120</v>
      </c>
      <c r="K47" s="22" t="s">
        <v>431</v>
      </c>
      <c r="L47" s="115"/>
      <c r="M47" s="4"/>
      <c r="N47" s="4"/>
      <c r="O47" s="4"/>
      <c r="P47" s="4"/>
      <c r="Q47" s="4"/>
      <c r="R47" s="4"/>
      <c r="S47" s="4"/>
      <c r="T47" s="4"/>
      <c r="U47" s="4"/>
      <c r="V47" s="4"/>
      <c r="W47" s="4"/>
      <c r="X47" s="4"/>
      <c r="Y47" s="4"/>
      <c r="Z47" s="4"/>
    </row>
    <row r="48" ht="16.5" customHeight="1">
      <c r="A48" s="125" t="s">
        <v>549</v>
      </c>
      <c r="B48" s="114" t="s">
        <v>550</v>
      </c>
      <c r="C48" s="114" t="s">
        <v>551</v>
      </c>
      <c r="D48" s="168" t="s">
        <v>552</v>
      </c>
      <c r="E48" s="168" t="s">
        <v>552</v>
      </c>
      <c r="F48" s="17" t="s">
        <v>117</v>
      </c>
      <c r="G48" s="117" t="s">
        <v>430</v>
      </c>
      <c r="H48" s="22" t="s">
        <v>348</v>
      </c>
      <c r="I48" s="17" t="s">
        <v>117</v>
      </c>
      <c r="J48" s="117" t="s">
        <v>120</v>
      </c>
      <c r="K48" s="22" t="s">
        <v>431</v>
      </c>
      <c r="L48" s="115"/>
      <c r="M48" s="4"/>
      <c r="N48" s="4"/>
      <c r="O48" s="4"/>
      <c r="P48" s="4"/>
      <c r="Q48" s="4"/>
      <c r="R48" s="4"/>
      <c r="S48" s="4"/>
      <c r="T48" s="4"/>
      <c r="U48" s="4"/>
      <c r="V48" s="4"/>
      <c r="W48" s="4"/>
      <c r="X48" s="4"/>
      <c r="Y48" s="4"/>
      <c r="Z48" s="4"/>
    </row>
    <row r="49" ht="16.5" customHeight="1">
      <c r="A49" s="125" t="s">
        <v>553</v>
      </c>
      <c r="B49" s="114" t="s">
        <v>554</v>
      </c>
      <c r="C49" s="114" t="s">
        <v>555</v>
      </c>
      <c r="D49" s="168" t="s">
        <v>556</v>
      </c>
      <c r="E49" s="168" t="s">
        <v>556</v>
      </c>
      <c r="F49" s="17" t="s">
        <v>117</v>
      </c>
      <c r="G49" s="117" t="s">
        <v>430</v>
      </c>
      <c r="H49" s="22" t="s">
        <v>348</v>
      </c>
      <c r="I49" s="17" t="s">
        <v>117</v>
      </c>
      <c r="J49" s="117" t="s">
        <v>120</v>
      </c>
      <c r="K49" s="22" t="s">
        <v>431</v>
      </c>
      <c r="L49" s="115"/>
      <c r="M49" s="4"/>
      <c r="N49" s="4"/>
      <c r="O49" s="4"/>
      <c r="P49" s="4"/>
      <c r="Q49" s="4"/>
      <c r="R49" s="4"/>
      <c r="S49" s="4"/>
      <c r="T49" s="4"/>
      <c r="U49" s="4"/>
      <c r="V49" s="4"/>
      <c r="W49" s="4"/>
      <c r="X49" s="4"/>
      <c r="Y49" s="4"/>
      <c r="Z49" s="4"/>
    </row>
    <row r="50" ht="16.5" customHeight="1">
      <c r="A50" s="125" t="s">
        <v>557</v>
      </c>
      <c r="B50" s="114" t="s">
        <v>558</v>
      </c>
      <c r="C50" s="114" t="s">
        <v>559</v>
      </c>
      <c r="D50" s="168" t="s">
        <v>560</v>
      </c>
      <c r="E50" s="168" t="s">
        <v>560</v>
      </c>
      <c r="F50" s="17" t="s">
        <v>117</v>
      </c>
      <c r="G50" s="117" t="s">
        <v>430</v>
      </c>
      <c r="H50" s="22" t="s">
        <v>348</v>
      </c>
      <c r="I50" s="17" t="s">
        <v>117</v>
      </c>
      <c r="J50" s="117" t="s">
        <v>120</v>
      </c>
      <c r="K50" s="22" t="s">
        <v>431</v>
      </c>
      <c r="L50" s="115"/>
      <c r="M50" s="4"/>
      <c r="N50" s="4"/>
      <c r="O50" s="4"/>
      <c r="P50" s="4"/>
      <c r="Q50" s="4"/>
      <c r="R50" s="4"/>
      <c r="S50" s="4"/>
      <c r="T50" s="4"/>
      <c r="U50" s="4"/>
      <c r="V50" s="4"/>
      <c r="W50" s="4"/>
      <c r="X50" s="4"/>
      <c r="Y50" s="4"/>
      <c r="Z50" s="4"/>
    </row>
    <row r="51" ht="16.5" customHeight="1">
      <c r="A51" s="125" t="s">
        <v>561</v>
      </c>
      <c r="B51" s="114" t="s">
        <v>562</v>
      </c>
      <c r="C51" s="114" t="s">
        <v>563</v>
      </c>
      <c r="D51" s="168" t="s">
        <v>564</v>
      </c>
      <c r="E51" s="168" t="s">
        <v>564</v>
      </c>
      <c r="F51" s="17" t="s">
        <v>117</v>
      </c>
      <c r="G51" s="117" t="s">
        <v>430</v>
      </c>
      <c r="H51" s="22" t="s">
        <v>348</v>
      </c>
      <c r="I51" s="17" t="s">
        <v>117</v>
      </c>
      <c r="J51" s="117" t="s">
        <v>120</v>
      </c>
      <c r="K51" s="22" t="s">
        <v>431</v>
      </c>
      <c r="L51" s="115"/>
      <c r="M51" s="4"/>
      <c r="N51" s="4"/>
      <c r="O51" s="4"/>
      <c r="P51" s="4"/>
      <c r="Q51" s="4"/>
      <c r="R51" s="4"/>
      <c r="S51" s="4"/>
      <c r="T51" s="4"/>
      <c r="U51" s="4"/>
      <c r="V51" s="4"/>
      <c r="W51" s="4"/>
      <c r="X51" s="4"/>
      <c r="Y51" s="4"/>
      <c r="Z51" s="4"/>
    </row>
    <row r="52" ht="16.5" customHeight="1">
      <c r="A52" s="125" t="s">
        <v>565</v>
      </c>
      <c r="B52" s="114" t="s">
        <v>566</v>
      </c>
      <c r="C52" s="114" t="s">
        <v>567</v>
      </c>
      <c r="D52" s="168" t="s">
        <v>552</v>
      </c>
      <c r="E52" s="168" t="s">
        <v>552</v>
      </c>
      <c r="F52" s="17" t="s">
        <v>117</v>
      </c>
      <c r="G52" s="117" t="s">
        <v>430</v>
      </c>
      <c r="H52" s="22" t="s">
        <v>348</v>
      </c>
      <c r="I52" s="17" t="s">
        <v>117</v>
      </c>
      <c r="J52" s="117" t="s">
        <v>120</v>
      </c>
      <c r="K52" s="22" t="s">
        <v>431</v>
      </c>
      <c r="L52" s="115"/>
      <c r="M52" s="4"/>
      <c r="N52" s="4"/>
      <c r="O52" s="4"/>
      <c r="P52" s="4"/>
      <c r="Q52" s="4"/>
      <c r="R52" s="4"/>
      <c r="S52" s="4"/>
      <c r="T52" s="4"/>
      <c r="U52" s="4"/>
      <c r="V52" s="4"/>
      <c r="W52" s="4"/>
      <c r="X52" s="4"/>
      <c r="Y52" s="4"/>
      <c r="Z52" s="4"/>
    </row>
    <row r="53" ht="16.5" customHeight="1">
      <c r="A53" s="125" t="s">
        <v>568</v>
      </c>
      <c r="B53" s="114" t="s">
        <v>569</v>
      </c>
      <c r="C53" s="114" t="s">
        <v>570</v>
      </c>
      <c r="D53" s="168" t="s">
        <v>571</v>
      </c>
      <c r="E53" s="168" t="s">
        <v>571</v>
      </c>
      <c r="F53" s="17" t="s">
        <v>117</v>
      </c>
      <c r="G53" s="117" t="s">
        <v>430</v>
      </c>
      <c r="H53" s="22" t="s">
        <v>348</v>
      </c>
      <c r="I53" s="17" t="s">
        <v>117</v>
      </c>
      <c r="J53" s="117" t="s">
        <v>120</v>
      </c>
      <c r="K53" s="22" t="s">
        <v>431</v>
      </c>
      <c r="L53" s="171"/>
      <c r="M53" s="4"/>
      <c r="N53" s="4"/>
      <c r="O53" s="4"/>
      <c r="P53" s="4"/>
      <c r="Q53" s="4"/>
      <c r="R53" s="4"/>
      <c r="S53" s="4"/>
      <c r="T53" s="4"/>
      <c r="U53" s="4"/>
      <c r="V53" s="4"/>
      <c r="W53" s="4"/>
      <c r="X53" s="4"/>
      <c r="Y53" s="4"/>
      <c r="Z53" s="4"/>
    </row>
    <row r="54" ht="16.5" customHeight="1">
      <c r="A54" s="125" t="s">
        <v>572</v>
      </c>
      <c r="B54" s="114" t="s">
        <v>573</v>
      </c>
      <c r="C54" s="114" t="s">
        <v>574</v>
      </c>
      <c r="D54" s="168" t="s">
        <v>575</v>
      </c>
      <c r="E54" s="168" t="s">
        <v>575</v>
      </c>
      <c r="F54" s="17" t="s">
        <v>117</v>
      </c>
      <c r="G54" s="117" t="s">
        <v>430</v>
      </c>
      <c r="H54" s="22" t="s">
        <v>348</v>
      </c>
      <c r="I54" s="17" t="s">
        <v>117</v>
      </c>
      <c r="J54" s="117" t="s">
        <v>120</v>
      </c>
      <c r="K54" s="22" t="s">
        <v>431</v>
      </c>
      <c r="L54" s="171"/>
      <c r="M54" s="4"/>
      <c r="N54" s="4"/>
      <c r="O54" s="4"/>
      <c r="P54" s="4"/>
      <c r="Q54" s="4"/>
      <c r="R54" s="4"/>
      <c r="S54" s="4"/>
      <c r="T54" s="4"/>
      <c r="U54" s="4"/>
      <c r="V54" s="4"/>
      <c r="W54" s="4"/>
      <c r="X54" s="4"/>
      <c r="Y54" s="4"/>
      <c r="Z54" s="4"/>
    </row>
    <row r="55" ht="16.5" customHeight="1">
      <c r="A55" s="125" t="s">
        <v>576</v>
      </c>
      <c r="B55" s="114" t="s">
        <v>40</v>
      </c>
      <c r="C55" s="114" t="s">
        <v>577</v>
      </c>
      <c r="D55" s="168" t="s">
        <v>578</v>
      </c>
      <c r="E55" s="168" t="s">
        <v>578</v>
      </c>
      <c r="F55" s="17" t="s">
        <v>117</v>
      </c>
      <c r="G55" s="117" t="s">
        <v>430</v>
      </c>
      <c r="H55" s="22" t="s">
        <v>348</v>
      </c>
      <c r="I55" s="17" t="s">
        <v>117</v>
      </c>
      <c r="J55" s="117" t="s">
        <v>120</v>
      </c>
      <c r="K55" s="22" t="s">
        <v>431</v>
      </c>
      <c r="L55" s="171"/>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6.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6.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6.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6.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6.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6.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6.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6.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6.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6.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6.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6.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6.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6.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6.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6.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6.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6.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6.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6.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6.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6.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6.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6.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6.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6.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6.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6.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6.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6.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6.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6.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6.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6.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6.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6.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6.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6.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6.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6.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6.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6.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6.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6.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6.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6.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6.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6.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6.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6.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6.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6.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6.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6.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6.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6.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6.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6.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6.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6.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6.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6.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6.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6.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6.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6.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6.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6.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6.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6.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6.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6.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6.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6.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6.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6.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6.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6.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6.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6.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6.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6.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6.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6.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6.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6.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6.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6.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6.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6.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6.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6.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6.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6.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6.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6.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6.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6.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6.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6.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6.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6.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6.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6.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6.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6.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6.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6.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6.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6.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6.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6.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6.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6.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6.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6.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6.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6.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6.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6.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6.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6.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6.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6.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6.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6.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6.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6.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6.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6.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6.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6.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6.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6.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6.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6.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6.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6.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6.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6.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6.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6.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6.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6.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6.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6.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6.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6.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6.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6.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6.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6.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6.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6.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6.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6.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6.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6.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6.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6.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6.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6.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6.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6.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6.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6.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6.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6.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6.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6.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6.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6.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6.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6.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6.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6.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6.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6.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6.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6.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6.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6.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6.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6.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6.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6.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6.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6.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6.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6.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6.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6.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6.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6.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6.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6.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6.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6.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6.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6.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6.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6.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6.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6.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6.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6.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6.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6.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6.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6.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6.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6.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6.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6.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6.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6.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6.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6.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6.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6.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6.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6.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6.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6.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6.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6.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6.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6.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6.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6.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6.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6.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6.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6.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6.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6.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6.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6.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6.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6.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6.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6.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6.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6.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6.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6.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6.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6.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6.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6.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6.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6.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6.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6.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6.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6.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6.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6.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6.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6.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6.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6.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6.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6.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6.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6.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6.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6.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6.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6.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6.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6.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6.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6.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6.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6.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6.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6.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6.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6.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6.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6.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6.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6.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6.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6.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6.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6.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6.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6.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6.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6.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6.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6.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6.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6.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6.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6.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6.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6.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6.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6.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6.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6.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6.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6.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6.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6.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6.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6.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6.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6.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6.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6.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6.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6.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6.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6.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6.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6.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6.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6.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6.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6.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6.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6.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6.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6.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6.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6.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6.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6.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6.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6.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6.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6.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6.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6.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6.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6.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6.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6.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6.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6.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6.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6.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6.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6.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6.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6.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6.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6.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6.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6.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6.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6.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6.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6.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6.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6.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6.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6.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6.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6.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6.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6.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6.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6.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6.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6.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6.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6.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6.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6.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6.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6.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6.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6.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6.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6.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6.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6.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6.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6.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6.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6.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6.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6.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6.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6.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6.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6.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6.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6.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6.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6.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6.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6.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6.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6.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6.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6.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6.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6.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6.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6.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6.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6.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6.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6.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6.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6.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6.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6.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6.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6.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6.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6.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6.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6.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6.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6.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6.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6.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6.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6.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6.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6.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6.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6.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6.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6.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6.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6.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6.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6.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6.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6.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6.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6.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6.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6.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6.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6.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6.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6.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6.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6.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6.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6.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6.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6.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6.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6.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6.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6.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6.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6.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6.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6.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6.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6.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6.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6.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6.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6.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6.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6.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6.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6.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6.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6.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6.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6.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6.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6.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6.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6.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6.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6.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6.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6.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6.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6.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6.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6.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6.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6.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6.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6.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6.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6.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6.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6.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6.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6.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6.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6.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6.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6.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6.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6.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6.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6.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6.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6.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6.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6.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6.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6.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6.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6.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6.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6.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6.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6.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6.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6.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6.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6.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6.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6.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6.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6.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6.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6.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6.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6.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6.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6.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6.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6.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6.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6.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6.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6.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6.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6.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6.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6.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6.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6.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6.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6.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6.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6.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6.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6.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6.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6.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6.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6.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6.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6.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6.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6.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6.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6.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6.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6.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6.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6.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6.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6.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6.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6.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6.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6.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6.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6.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6.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6.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6.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6.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6.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6.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6.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6.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6.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6.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6.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6.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6.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6.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6.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6.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6.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6.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6.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6.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6.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6.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6.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6.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6.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6.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6.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6.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6.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6.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6.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6.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6.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6.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6.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6.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6.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6.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6.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6.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6.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6.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6.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6.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6.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6.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6.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6.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6.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6.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6.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6.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6.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6.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6.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6.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6.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6.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6.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6.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6.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6.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6.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6.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6.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6.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6.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6.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6.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6.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6.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6.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6.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6.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6.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6.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6.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6.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6.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6.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6.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6.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6.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6.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6.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6.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6.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6.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6.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6.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6.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6.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6.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6.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6.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6.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6.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6.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6.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6.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6.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6.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6.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6.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6.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6.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6.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6.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6.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6.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6.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6.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6.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6.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6.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6.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6.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6.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6.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6.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6.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6.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6.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6.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6.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6.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6.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6.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6.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6.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6.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6.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6.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6.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6.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6.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6.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6.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6.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6.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6.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6.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6.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6.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6.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6.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6.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6.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6.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6.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6.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6.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6.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6.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6.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6.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6.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6.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6.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6.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6.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6.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6.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6.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6.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6.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6.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6.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6.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6.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6.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6.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6.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6.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6.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6.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6.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6.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6.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6.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6.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6.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6.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6.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6.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6.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6.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6.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6.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6.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6.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6.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6.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6.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6.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6.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6.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6.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6.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6.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6.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6.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6.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6.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6.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6.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6.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6.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6.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6.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31:K31"/>
    <mergeCell ref="L31:L33"/>
    <mergeCell ref="F32:H32"/>
    <mergeCell ref="I32:K32"/>
    <mergeCell ref="A34:L34"/>
    <mergeCell ref="A44:L44"/>
    <mergeCell ref="B1:F1"/>
    <mergeCell ref="B2:F2"/>
    <mergeCell ref="A31:A33"/>
    <mergeCell ref="B31:B33"/>
    <mergeCell ref="C31:C33"/>
    <mergeCell ref="D31:D33"/>
    <mergeCell ref="E31:E33"/>
  </mergeCells>
  <dataValidations>
    <dataValidation type="list" allowBlank="1" showErrorMessage="1" sqref="F35:F43 I35:I43 F45:F55 I45:I55">
      <formula1>"Passed,Untested,Failed,Blocked"</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4.43" defaultRowHeight="15.0"/>
  <cols>
    <col customWidth="1" min="1" max="1" width="17.29"/>
    <col customWidth="1" min="2" max="2" width="31.14"/>
    <col customWidth="1" min="3" max="3" width="46.86"/>
    <col customWidth="1" min="4" max="4" width="43.29"/>
    <col customWidth="1" min="5" max="5" width="46.29"/>
    <col customWidth="1" min="6" max="6" width="44.14"/>
    <col customWidth="1" min="7" max="7" width="11.29"/>
    <col customWidth="1" min="8" max="8" width="15.29"/>
    <col customWidth="1" min="9" max="9" width="16.14"/>
    <col customWidth="1" min="10" max="10" width="11.29"/>
    <col customWidth="1" min="11" max="11" width="15.29"/>
    <col customWidth="1" min="12" max="12" width="16.14"/>
    <col customWidth="1" min="13" max="13" width="11.29"/>
    <col customWidth="1" min="14" max="33" width="9.14"/>
  </cols>
  <sheetData>
    <row r="1" ht="15.75" customHeight="1">
      <c r="A1" s="172" t="s">
        <v>98</v>
      </c>
      <c r="B1" s="150" t="s">
        <v>2</v>
      </c>
      <c r="C1" s="97"/>
      <c r="D1" s="97"/>
      <c r="E1" s="97"/>
      <c r="F1" s="98"/>
      <c r="G1" s="173"/>
    </row>
    <row r="2" ht="15.75" customHeight="1">
      <c r="A2" s="172" t="s">
        <v>99</v>
      </c>
      <c r="B2" s="174" t="s">
        <v>42</v>
      </c>
      <c r="C2" s="97"/>
      <c r="D2" s="97"/>
      <c r="E2" s="97"/>
      <c r="F2" s="98"/>
      <c r="G2" s="175"/>
    </row>
    <row r="3" ht="15.75" customHeight="1">
      <c r="A3" s="144"/>
      <c r="B3" s="101" t="s">
        <v>73</v>
      </c>
      <c r="C3" s="101" t="s">
        <v>74</v>
      </c>
      <c r="D3" s="101" t="s">
        <v>100</v>
      </c>
      <c r="E3" s="102" t="s">
        <v>76</v>
      </c>
      <c r="F3" s="101" t="s">
        <v>101</v>
      </c>
    </row>
    <row r="4" ht="15.75" customHeight="1">
      <c r="A4" s="45" t="s">
        <v>102</v>
      </c>
      <c r="B4" s="144">
        <v>23.0</v>
      </c>
      <c r="C4" s="144">
        <v>0.0</v>
      </c>
      <c r="D4" s="144">
        <v>0.0</v>
      </c>
      <c r="E4" s="144">
        <v>0.0</v>
      </c>
      <c r="F4" s="144">
        <f t="shared" ref="F4:F5" si="1">B4</f>
        <v>23</v>
      </c>
    </row>
    <row r="5" ht="15.75" customHeight="1">
      <c r="A5" s="45" t="s">
        <v>103</v>
      </c>
      <c r="B5" s="144">
        <v>23.0</v>
      </c>
      <c r="C5" s="144">
        <v>0.0</v>
      </c>
      <c r="D5" s="144">
        <v>0.0</v>
      </c>
      <c r="E5" s="144">
        <v>0.0</v>
      </c>
      <c r="F5" s="144">
        <f t="shared" si="1"/>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A31" s="176" t="s">
        <v>104</v>
      </c>
      <c r="B31" s="176" t="s">
        <v>7</v>
      </c>
      <c r="C31" s="176" t="s">
        <v>105</v>
      </c>
      <c r="D31" s="176" t="s">
        <v>221</v>
      </c>
      <c r="E31" s="177" t="s">
        <v>106</v>
      </c>
      <c r="F31" s="176" t="s">
        <v>107</v>
      </c>
      <c r="G31" s="178" t="s">
        <v>108</v>
      </c>
      <c r="H31" s="97"/>
      <c r="I31" s="97"/>
      <c r="J31" s="97"/>
      <c r="K31" s="97"/>
      <c r="L31" s="98"/>
      <c r="M31" s="176" t="s">
        <v>109</v>
      </c>
    </row>
    <row r="32" ht="15.75" customHeight="1">
      <c r="A32" s="21"/>
      <c r="B32" s="21"/>
      <c r="C32" s="21"/>
      <c r="D32" s="21"/>
      <c r="E32" s="21"/>
      <c r="F32" s="21"/>
      <c r="G32" s="178" t="s">
        <v>81</v>
      </c>
      <c r="H32" s="97"/>
      <c r="I32" s="98"/>
      <c r="J32" s="178" t="s">
        <v>82</v>
      </c>
      <c r="K32" s="97"/>
      <c r="L32" s="98"/>
      <c r="M32" s="21"/>
    </row>
    <row r="33" ht="15.75" customHeight="1">
      <c r="A33" s="23"/>
      <c r="B33" s="23"/>
      <c r="C33" s="23"/>
      <c r="D33" s="23"/>
      <c r="E33" s="23"/>
      <c r="F33" s="23"/>
      <c r="G33" s="179" t="s">
        <v>110</v>
      </c>
      <c r="H33" s="180" t="s">
        <v>111</v>
      </c>
      <c r="I33" s="179" t="s">
        <v>112</v>
      </c>
      <c r="J33" s="179" t="s">
        <v>110</v>
      </c>
      <c r="K33" s="179" t="s">
        <v>111</v>
      </c>
      <c r="L33" s="179" t="s">
        <v>112</v>
      </c>
      <c r="M33" s="23"/>
    </row>
    <row r="34" ht="15.75" customHeight="1">
      <c r="A34" s="181" t="s">
        <v>579</v>
      </c>
      <c r="B34" s="182"/>
      <c r="C34" s="182"/>
      <c r="D34" s="182"/>
      <c r="E34" s="182"/>
      <c r="F34" s="182"/>
      <c r="G34" s="182"/>
      <c r="H34" s="182"/>
      <c r="I34" s="182"/>
      <c r="J34" s="182"/>
      <c r="K34" s="182"/>
      <c r="L34" s="182"/>
      <c r="M34" s="183"/>
    </row>
    <row r="35" ht="54.0" customHeight="1">
      <c r="A35" s="125" t="s">
        <v>580</v>
      </c>
      <c r="B35" s="115" t="s">
        <v>581</v>
      </c>
      <c r="C35" s="115"/>
      <c r="D35" s="168" t="s">
        <v>428</v>
      </c>
      <c r="E35" s="114" t="s">
        <v>536</v>
      </c>
      <c r="F35" s="114" t="s">
        <v>536</v>
      </c>
      <c r="G35" s="17" t="s">
        <v>117</v>
      </c>
      <c r="H35" s="117" t="s">
        <v>582</v>
      </c>
      <c r="I35" s="22" t="s">
        <v>431</v>
      </c>
      <c r="J35" s="17" t="s">
        <v>117</v>
      </c>
      <c r="K35" s="117" t="s">
        <v>120</v>
      </c>
      <c r="L35" s="22" t="s">
        <v>583</v>
      </c>
      <c r="M35" s="115"/>
      <c r="N35" s="184"/>
      <c r="O35" s="184"/>
      <c r="P35" s="184"/>
      <c r="Q35" s="184"/>
      <c r="R35" s="184"/>
      <c r="S35" s="184"/>
      <c r="T35" s="184"/>
      <c r="U35" s="184"/>
      <c r="V35" s="184"/>
      <c r="W35" s="184"/>
      <c r="X35" s="184"/>
      <c r="Y35" s="184"/>
      <c r="Z35" s="184"/>
      <c r="AA35" s="184"/>
      <c r="AB35" s="184"/>
      <c r="AC35" s="184"/>
      <c r="AD35" s="184"/>
      <c r="AE35" s="184"/>
      <c r="AF35" s="184"/>
      <c r="AG35" s="184"/>
    </row>
    <row r="36" ht="50.25" customHeight="1">
      <c r="A36" s="125" t="s">
        <v>584</v>
      </c>
      <c r="B36" s="125" t="s">
        <v>585</v>
      </c>
      <c r="C36" s="115"/>
      <c r="D36" s="168" t="s">
        <v>428</v>
      </c>
      <c r="E36" s="114" t="s">
        <v>233</v>
      </c>
      <c r="F36" s="114" t="s">
        <v>233</v>
      </c>
      <c r="G36" s="17" t="s">
        <v>117</v>
      </c>
      <c r="H36" s="117" t="s">
        <v>582</v>
      </c>
      <c r="I36" s="22" t="s">
        <v>431</v>
      </c>
      <c r="J36" s="17" t="s">
        <v>117</v>
      </c>
      <c r="K36" s="117" t="s">
        <v>120</v>
      </c>
      <c r="L36" s="22" t="s">
        <v>583</v>
      </c>
      <c r="M36" s="115"/>
      <c r="N36" s="184"/>
      <c r="O36" s="184"/>
      <c r="P36" s="184"/>
      <c r="Q36" s="184"/>
      <c r="R36" s="184"/>
      <c r="S36" s="184"/>
      <c r="T36" s="184"/>
      <c r="U36" s="184"/>
      <c r="V36" s="184"/>
      <c r="W36" s="184"/>
      <c r="X36" s="184"/>
      <c r="Y36" s="184"/>
      <c r="Z36" s="184"/>
      <c r="AA36" s="184"/>
      <c r="AB36" s="184"/>
      <c r="AC36" s="184"/>
      <c r="AD36" s="184"/>
      <c r="AE36" s="184"/>
      <c r="AF36" s="184"/>
      <c r="AG36" s="184"/>
    </row>
    <row r="37" ht="39.75" customHeight="1">
      <c r="A37" s="125" t="s">
        <v>586</v>
      </c>
      <c r="B37" s="114" t="s">
        <v>587</v>
      </c>
      <c r="C37" s="115"/>
      <c r="D37" s="168" t="s">
        <v>428</v>
      </c>
      <c r="E37" s="114" t="s">
        <v>429</v>
      </c>
      <c r="F37" s="114" t="s">
        <v>429</v>
      </c>
      <c r="G37" s="17" t="s">
        <v>117</v>
      </c>
      <c r="H37" s="117" t="s">
        <v>582</v>
      </c>
      <c r="I37" s="22" t="s">
        <v>431</v>
      </c>
      <c r="J37" s="17" t="s">
        <v>117</v>
      </c>
      <c r="K37" s="117" t="s">
        <v>120</v>
      </c>
      <c r="L37" s="22" t="s">
        <v>583</v>
      </c>
      <c r="M37" s="115"/>
      <c r="N37" s="184"/>
      <c r="O37" s="184"/>
      <c r="P37" s="184"/>
      <c r="Q37" s="184"/>
      <c r="R37" s="184"/>
      <c r="S37" s="184"/>
      <c r="T37" s="184"/>
      <c r="U37" s="184"/>
      <c r="V37" s="184"/>
      <c r="W37" s="184"/>
      <c r="X37" s="184"/>
      <c r="Y37" s="184"/>
      <c r="Z37" s="184"/>
      <c r="AA37" s="184"/>
      <c r="AB37" s="184"/>
      <c r="AC37" s="184"/>
      <c r="AD37" s="184"/>
      <c r="AE37" s="184"/>
      <c r="AF37" s="184"/>
      <c r="AG37" s="184"/>
    </row>
    <row r="38" ht="49.5" customHeight="1">
      <c r="A38" s="125" t="s">
        <v>588</v>
      </c>
      <c r="B38" s="115" t="s">
        <v>589</v>
      </c>
      <c r="C38" s="115"/>
      <c r="D38" s="168" t="s">
        <v>428</v>
      </c>
      <c r="E38" s="114" t="s">
        <v>520</v>
      </c>
      <c r="F38" s="114" t="s">
        <v>520</v>
      </c>
      <c r="G38" s="17" t="s">
        <v>117</v>
      </c>
      <c r="H38" s="117" t="s">
        <v>582</v>
      </c>
      <c r="I38" s="22" t="s">
        <v>431</v>
      </c>
      <c r="J38" s="17" t="s">
        <v>117</v>
      </c>
      <c r="K38" s="117" t="s">
        <v>120</v>
      </c>
      <c r="L38" s="22" t="s">
        <v>583</v>
      </c>
      <c r="M38" s="115"/>
      <c r="N38" s="184"/>
      <c r="O38" s="184"/>
      <c r="P38" s="184"/>
      <c r="Q38" s="184"/>
      <c r="R38" s="184"/>
      <c r="S38" s="184"/>
      <c r="T38" s="184"/>
      <c r="U38" s="184"/>
      <c r="V38" s="184"/>
      <c r="W38" s="184"/>
      <c r="X38" s="184"/>
      <c r="Y38" s="184"/>
      <c r="Z38" s="184"/>
      <c r="AA38" s="184"/>
      <c r="AB38" s="184"/>
      <c r="AC38" s="184"/>
      <c r="AD38" s="184"/>
      <c r="AE38" s="184"/>
      <c r="AF38" s="184"/>
      <c r="AG38" s="184"/>
    </row>
    <row r="39" ht="51.75" customHeight="1">
      <c r="A39" s="125" t="s">
        <v>590</v>
      </c>
      <c r="B39" s="125" t="s">
        <v>591</v>
      </c>
      <c r="C39" s="115"/>
      <c r="D39" s="168" t="s">
        <v>428</v>
      </c>
      <c r="E39" s="114" t="s">
        <v>592</v>
      </c>
      <c r="F39" s="114" t="s">
        <v>592</v>
      </c>
      <c r="G39" s="17" t="s">
        <v>117</v>
      </c>
      <c r="H39" s="117" t="s">
        <v>582</v>
      </c>
      <c r="I39" s="22" t="s">
        <v>431</v>
      </c>
      <c r="J39" s="17" t="s">
        <v>117</v>
      </c>
      <c r="K39" s="117" t="s">
        <v>120</v>
      </c>
      <c r="L39" s="22" t="s">
        <v>583</v>
      </c>
      <c r="M39" s="115"/>
      <c r="N39" s="184"/>
      <c r="O39" s="184"/>
      <c r="P39" s="184"/>
      <c r="Q39" s="184"/>
      <c r="R39" s="184"/>
      <c r="S39" s="184"/>
      <c r="T39" s="184"/>
      <c r="U39" s="184"/>
      <c r="V39" s="184"/>
      <c r="W39" s="184"/>
      <c r="X39" s="184"/>
      <c r="Y39" s="184"/>
      <c r="Z39" s="184"/>
      <c r="AA39" s="184"/>
      <c r="AB39" s="184"/>
      <c r="AC39" s="184"/>
      <c r="AD39" s="184"/>
      <c r="AE39" s="184"/>
      <c r="AF39" s="184"/>
      <c r="AG39" s="184"/>
    </row>
    <row r="40" ht="54.0" customHeight="1">
      <c r="A40" s="125" t="s">
        <v>593</v>
      </c>
      <c r="B40" s="125" t="s">
        <v>594</v>
      </c>
      <c r="C40" s="115"/>
      <c r="D40" s="168" t="s">
        <v>428</v>
      </c>
      <c r="E40" s="114" t="s">
        <v>233</v>
      </c>
      <c r="F40" s="114" t="s">
        <v>233</v>
      </c>
      <c r="G40" s="17" t="s">
        <v>117</v>
      </c>
      <c r="H40" s="117" t="s">
        <v>582</v>
      </c>
      <c r="I40" s="22" t="s">
        <v>431</v>
      </c>
      <c r="J40" s="17" t="s">
        <v>117</v>
      </c>
      <c r="K40" s="117" t="s">
        <v>120</v>
      </c>
      <c r="L40" s="22" t="s">
        <v>583</v>
      </c>
      <c r="M40" s="115"/>
      <c r="N40" s="184"/>
      <c r="O40" s="184"/>
      <c r="P40" s="184"/>
      <c r="Q40" s="184"/>
      <c r="R40" s="184"/>
      <c r="S40" s="184"/>
      <c r="T40" s="184"/>
      <c r="U40" s="184"/>
      <c r="V40" s="184"/>
      <c r="W40" s="184"/>
      <c r="X40" s="184"/>
      <c r="Y40" s="184"/>
      <c r="Z40" s="184"/>
      <c r="AA40" s="184"/>
      <c r="AB40" s="184"/>
      <c r="AC40" s="184"/>
      <c r="AD40" s="184"/>
      <c r="AE40" s="184"/>
      <c r="AF40" s="184"/>
      <c r="AG40" s="184"/>
    </row>
    <row r="41" ht="54.0" customHeight="1">
      <c r="A41" s="125" t="s">
        <v>595</v>
      </c>
      <c r="B41" s="125" t="s">
        <v>596</v>
      </c>
      <c r="C41" s="115"/>
      <c r="D41" s="168" t="s">
        <v>428</v>
      </c>
      <c r="E41" s="114" t="s">
        <v>592</v>
      </c>
      <c r="F41" s="114" t="s">
        <v>592</v>
      </c>
      <c r="G41" s="17" t="s">
        <v>117</v>
      </c>
      <c r="H41" s="117" t="s">
        <v>582</v>
      </c>
      <c r="I41" s="22" t="s">
        <v>431</v>
      </c>
      <c r="J41" s="17" t="s">
        <v>117</v>
      </c>
      <c r="K41" s="117" t="s">
        <v>120</v>
      </c>
      <c r="L41" s="22" t="s">
        <v>583</v>
      </c>
      <c r="M41" s="115"/>
      <c r="N41" s="184"/>
      <c r="O41" s="184"/>
      <c r="P41" s="184"/>
      <c r="Q41" s="184"/>
      <c r="R41" s="184"/>
      <c r="S41" s="184"/>
      <c r="T41" s="184"/>
      <c r="U41" s="184"/>
      <c r="V41" s="184"/>
      <c r="W41" s="184"/>
      <c r="X41" s="184"/>
      <c r="Y41" s="184"/>
      <c r="Z41" s="184"/>
      <c r="AA41" s="184"/>
      <c r="AB41" s="184"/>
      <c r="AC41" s="184"/>
      <c r="AD41" s="184"/>
      <c r="AE41" s="184"/>
      <c r="AF41" s="184"/>
      <c r="AG41" s="184"/>
    </row>
    <row r="42" ht="54.75" customHeight="1">
      <c r="A42" s="125" t="s">
        <v>597</v>
      </c>
      <c r="B42" s="125" t="s">
        <v>598</v>
      </c>
      <c r="C42" s="115"/>
      <c r="D42" s="168" t="s">
        <v>428</v>
      </c>
      <c r="E42" s="114" t="s">
        <v>233</v>
      </c>
      <c r="F42" s="114" t="s">
        <v>233</v>
      </c>
      <c r="G42" s="17" t="s">
        <v>117</v>
      </c>
      <c r="H42" s="117" t="s">
        <v>582</v>
      </c>
      <c r="I42" s="22" t="s">
        <v>431</v>
      </c>
      <c r="J42" s="17" t="s">
        <v>117</v>
      </c>
      <c r="K42" s="117" t="s">
        <v>120</v>
      </c>
      <c r="L42" s="22" t="s">
        <v>583</v>
      </c>
      <c r="M42" s="115"/>
      <c r="N42" s="185"/>
      <c r="O42" s="186"/>
      <c r="P42" s="184"/>
      <c r="Q42" s="184"/>
      <c r="R42" s="184"/>
      <c r="S42" s="184"/>
      <c r="T42" s="184"/>
      <c r="U42" s="184"/>
      <c r="V42" s="184"/>
      <c r="W42" s="184"/>
      <c r="X42" s="184"/>
      <c r="Y42" s="184"/>
      <c r="Z42" s="184"/>
      <c r="AA42" s="184"/>
      <c r="AB42" s="184"/>
      <c r="AC42" s="184"/>
      <c r="AD42" s="184"/>
      <c r="AE42" s="184"/>
      <c r="AF42" s="184"/>
      <c r="AG42" s="184"/>
    </row>
    <row r="43" ht="39.75" customHeight="1">
      <c r="A43" s="125" t="s">
        <v>599</v>
      </c>
      <c r="B43" s="125" t="s">
        <v>600</v>
      </c>
      <c r="C43" s="115"/>
      <c r="D43" s="168" t="s">
        <v>428</v>
      </c>
      <c r="E43" s="114" t="s">
        <v>429</v>
      </c>
      <c r="F43" s="114" t="s">
        <v>429</v>
      </c>
      <c r="G43" s="17" t="s">
        <v>117</v>
      </c>
      <c r="H43" s="117" t="s">
        <v>582</v>
      </c>
      <c r="I43" s="22" t="s">
        <v>431</v>
      </c>
      <c r="J43" s="17" t="s">
        <v>117</v>
      </c>
      <c r="K43" s="117" t="s">
        <v>120</v>
      </c>
      <c r="L43" s="22" t="s">
        <v>583</v>
      </c>
      <c r="M43" s="115"/>
      <c r="N43" s="185"/>
      <c r="O43" s="186"/>
      <c r="P43" s="184"/>
      <c r="Q43" s="184"/>
      <c r="R43" s="184"/>
      <c r="S43" s="184"/>
      <c r="T43" s="184"/>
      <c r="U43" s="184"/>
      <c r="V43" s="184"/>
      <c r="W43" s="184"/>
      <c r="X43" s="184"/>
      <c r="Y43" s="184"/>
      <c r="Z43" s="184"/>
      <c r="AA43" s="184"/>
      <c r="AB43" s="184"/>
      <c r="AC43" s="184"/>
      <c r="AD43" s="184"/>
      <c r="AE43" s="184"/>
      <c r="AF43" s="184"/>
      <c r="AG43" s="184"/>
    </row>
    <row r="44" ht="39.75" customHeight="1">
      <c r="A44" s="125" t="s">
        <v>601</v>
      </c>
      <c r="B44" s="125" t="s">
        <v>602</v>
      </c>
      <c r="C44" s="115"/>
      <c r="D44" s="168" t="s">
        <v>428</v>
      </c>
      <c r="E44" s="120" t="s">
        <v>603</v>
      </c>
      <c r="F44" s="120" t="s">
        <v>603</v>
      </c>
      <c r="G44" s="17" t="s">
        <v>117</v>
      </c>
      <c r="H44" s="117" t="s">
        <v>582</v>
      </c>
      <c r="I44" s="22" t="s">
        <v>431</v>
      </c>
      <c r="J44" s="17" t="s">
        <v>117</v>
      </c>
      <c r="K44" s="117" t="s">
        <v>120</v>
      </c>
      <c r="L44" s="22" t="s">
        <v>583</v>
      </c>
      <c r="M44" s="115"/>
      <c r="N44" s="185"/>
      <c r="O44" s="186"/>
      <c r="P44" s="184"/>
      <c r="Q44" s="184"/>
      <c r="R44" s="184"/>
      <c r="S44" s="184"/>
      <c r="T44" s="184"/>
      <c r="U44" s="184"/>
      <c r="V44" s="184"/>
      <c r="W44" s="184"/>
      <c r="X44" s="184"/>
      <c r="Y44" s="184"/>
      <c r="Z44" s="184"/>
      <c r="AA44" s="184"/>
      <c r="AB44" s="184"/>
      <c r="AC44" s="184"/>
      <c r="AD44" s="184"/>
      <c r="AE44" s="184"/>
      <c r="AF44" s="184"/>
      <c r="AG44" s="184"/>
    </row>
    <row r="45" ht="15.75" customHeight="1">
      <c r="A45" s="125" t="s">
        <v>604</v>
      </c>
      <c r="B45" s="125" t="s">
        <v>605</v>
      </c>
      <c r="C45" s="115"/>
      <c r="D45" s="168" t="s">
        <v>428</v>
      </c>
      <c r="E45" s="120" t="s">
        <v>606</v>
      </c>
      <c r="F45" s="120" t="s">
        <v>606</v>
      </c>
      <c r="G45" s="17" t="s">
        <v>117</v>
      </c>
      <c r="H45" s="117" t="s">
        <v>582</v>
      </c>
      <c r="I45" s="22" t="s">
        <v>431</v>
      </c>
      <c r="J45" s="17" t="s">
        <v>117</v>
      </c>
      <c r="K45" s="117" t="s">
        <v>120</v>
      </c>
      <c r="L45" s="22" t="s">
        <v>583</v>
      </c>
      <c r="M45" s="115"/>
    </row>
    <row r="46" ht="15.75" customHeight="1">
      <c r="A46" s="125" t="s">
        <v>607</v>
      </c>
      <c r="B46" s="114" t="s">
        <v>608</v>
      </c>
      <c r="C46" s="115"/>
      <c r="D46" s="168" t="s">
        <v>428</v>
      </c>
      <c r="E46" s="114" t="s">
        <v>429</v>
      </c>
      <c r="F46" s="114" t="s">
        <v>429</v>
      </c>
      <c r="G46" s="17" t="s">
        <v>117</v>
      </c>
      <c r="H46" s="117" t="s">
        <v>582</v>
      </c>
      <c r="I46" s="22" t="s">
        <v>431</v>
      </c>
      <c r="J46" s="17" t="s">
        <v>117</v>
      </c>
      <c r="K46" s="117" t="s">
        <v>120</v>
      </c>
      <c r="L46" s="22" t="s">
        <v>583</v>
      </c>
      <c r="M46" s="115"/>
    </row>
    <row r="47" ht="15.75" customHeight="1">
      <c r="A47" s="125" t="s">
        <v>609</v>
      </c>
      <c r="B47" s="114" t="s">
        <v>608</v>
      </c>
      <c r="C47" s="115"/>
      <c r="D47" s="168" t="s">
        <v>428</v>
      </c>
      <c r="E47" s="114" t="s">
        <v>429</v>
      </c>
      <c r="F47" s="114" t="s">
        <v>429</v>
      </c>
      <c r="G47" s="17" t="s">
        <v>117</v>
      </c>
      <c r="H47" s="117" t="s">
        <v>582</v>
      </c>
      <c r="I47" s="22" t="s">
        <v>431</v>
      </c>
      <c r="J47" s="17" t="s">
        <v>117</v>
      </c>
      <c r="K47" s="117" t="s">
        <v>120</v>
      </c>
      <c r="L47" s="22" t="s">
        <v>583</v>
      </c>
      <c r="M47" s="187"/>
    </row>
    <row r="48" ht="15.75" customHeight="1">
      <c r="A48" s="125" t="s">
        <v>610</v>
      </c>
      <c r="B48" s="115" t="s">
        <v>611</v>
      </c>
      <c r="C48" s="115"/>
      <c r="D48" s="168" t="s">
        <v>428</v>
      </c>
      <c r="E48" s="114" t="s">
        <v>233</v>
      </c>
      <c r="F48" s="114" t="s">
        <v>233</v>
      </c>
      <c r="G48" s="17" t="s">
        <v>117</v>
      </c>
      <c r="H48" s="117" t="s">
        <v>582</v>
      </c>
      <c r="I48" s="22" t="s">
        <v>431</v>
      </c>
      <c r="J48" s="17" t="s">
        <v>117</v>
      </c>
      <c r="K48" s="117" t="s">
        <v>120</v>
      </c>
      <c r="L48" s="22" t="s">
        <v>583</v>
      </c>
      <c r="M48" s="187"/>
    </row>
    <row r="49" ht="15.75" customHeight="1">
      <c r="A49" s="125" t="s">
        <v>612</v>
      </c>
      <c r="B49" s="115" t="s">
        <v>613</v>
      </c>
      <c r="C49" s="115"/>
      <c r="D49" s="168" t="s">
        <v>428</v>
      </c>
      <c r="E49" s="114" t="s">
        <v>136</v>
      </c>
      <c r="F49" s="114" t="s">
        <v>136</v>
      </c>
      <c r="G49" s="17" t="s">
        <v>117</v>
      </c>
      <c r="H49" s="117" t="s">
        <v>582</v>
      </c>
      <c r="I49" s="22" t="s">
        <v>431</v>
      </c>
      <c r="J49" s="17" t="s">
        <v>117</v>
      </c>
      <c r="K49" s="117" t="s">
        <v>120</v>
      </c>
      <c r="L49" s="22" t="s">
        <v>583</v>
      </c>
      <c r="M49" s="187"/>
    </row>
    <row r="50" ht="15.75" customHeight="1">
      <c r="A50" s="188" t="s">
        <v>614</v>
      </c>
      <c r="B50" s="189"/>
      <c r="C50" s="189"/>
      <c r="D50" s="189"/>
      <c r="E50" s="189"/>
      <c r="F50" s="189"/>
      <c r="G50" s="189"/>
      <c r="H50" s="189"/>
      <c r="I50" s="189"/>
      <c r="J50" s="189"/>
      <c r="K50" s="189"/>
      <c r="L50" s="189"/>
      <c r="M50" s="190"/>
    </row>
    <row r="51" ht="15.75" customHeight="1">
      <c r="A51" s="114" t="s">
        <v>615</v>
      </c>
      <c r="B51" s="114" t="s">
        <v>42</v>
      </c>
      <c r="C51" s="114" t="s">
        <v>616</v>
      </c>
      <c r="D51" s="168" t="s">
        <v>428</v>
      </c>
      <c r="E51" s="119" t="s">
        <v>617</v>
      </c>
      <c r="F51" s="119" t="s">
        <v>617</v>
      </c>
      <c r="G51" s="17" t="s">
        <v>117</v>
      </c>
      <c r="H51" s="117" t="s">
        <v>582</v>
      </c>
      <c r="I51" s="22" t="s">
        <v>431</v>
      </c>
      <c r="J51" s="17" t="s">
        <v>117</v>
      </c>
      <c r="K51" s="117" t="s">
        <v>120</v>
      </c>
      <c r="L51" s="22" t="s">
        <v>583</v>
      </c>
      <c r="M51" s="168"/>
    </row>
    <row r="52" ht="15.75" customHeight="1">
      <c r="A52" s="114" t="s">
        <v>618</v>
      </c>
      <c r="B52" s="114" t="s">
        <v>43</v>
      </c>
      <c r="C52" s="114" t="s">
        <v>619</v>
      </c>
      <c r="D52" s="168" t="s">
        <v>428</v>
      </c>
      <c r="E52" s="119" t="s">
        <v>620</v>
      </c>
      <c r="F52" s="119" t="s">
        <v>620</v>
      </c>
      <c r="G52" s="17" t="s">
        <v>117</v>
      </c>
      <c r="H52" s="117" t="s">
        <v>582</v>
      </c>
      <c r="I52" s="22" t="s">
        <v>431</v>
      </c>
      <c r="J52" s="17" t="s">
        <v>117</v>
      </c>
      <c r="K52" s="117" t="s">
        <v>120</v>
      </c>
      <c r="L52" s="22" t="s">
        <v>583</v>
      </c>
      <c r="M52" s="168"/>
    </row>
    <row r="53" ht="15.75" customHeight="1">
      <c r="A53" s="114" t="s">
        <v>621</v>
      </c>
      <c r="B53" s="114" t="s">
        <v>44</v>
      </c>
      <c r="C53" s="114" t="s">
        <v>622</v>
      </c>
      <c r="D53" s="168" t="s">
        <v>428</v>
      </c>
      <c r="E53" s="119" t="s">
        <v>623</v>
      </c>
      <c r="F53" s="119" t="s">
        <v>623</v>
      </c>
      <c r="G53" s="17" t="s">
        <v>117</v>
      </c>
      <c r="H53" s="117" t="s">
        <v>582</v>
      </c>
      <c r="I53" s="22" t="s">
        <v>431</v>
      </c>
      <c r="J53" s="17" t="s">
        <v>117</v>
      </c>
      <c r="K53" s="117" t="s">
        <v>120</v>
      </c>
      <c r="L53" s="22" t="s">
        <v>583</v>
      </c>
      <c r="M53" s="168"/>
    </row>
    <row r="54" ht="15.75" customHeight="1">
      <c r="A54" s="114" t="s">
        <v>624</v>
      </c>
      <c r="B54" s="114" t="s">
        <v>45</v>
      </c>
      <c r="C54" s="114" t="s">
        <v>625</v>
      </c>
      <c r="D54" s="168" t="s">
        <v>428</v>
      </c>
      <c r="E54" s="119" t="s">
        <v>626</v>
      </c>
      <c r="F54" s="119" t="s">
        <v>626</v>
      </c>
      <c r="G54" s="17" t="s">
        <v>117</v>
      </c>
      <c r="H54" s="117" t="s">
        <v>582</v>
      </c>
      <c r="I54" s="22" t="s">
        <v>431</v>
      </c>
      <c r="J54" s="17" t="s">
        <v>117</v>
      </c>
      <c r="K54" s="117" t="s">
        <v>120</v>
      </c>
      <c r="L54" s="22" t="s">
        <v>583</v>
      </c>
      <c r="M54" s="168"/>
    </row>
    <row r="55" ht="15.75" customHeight="1">
      <c r="A55" s="114" t="s">
        <v>627</v>
      </c>
      <c r="B55" s="119" t="s">
        <v>46</v>
      </c>
      <c r="C55" s="114" t="s">
        <v>628</v>
      </c>
      <c r="D55" s="168" t="s">
        <v>428</v>
      </c>
      <c r="E55" s="119" t="s">
        <v>629</v>
      </c>
      <c r="F55" s="119" t="s">
        <v>629</v>
      </c>
      <c r="G55" s="17" t="s">
        <v>117</v>
      </c>
      <c r="H55" s="117" t="s">
        <v>582</v>
      </c>
      <c r="I55" s="22" t="s">
        <v>431</v>
      </c>
      <c r="J55" s="17" t="s">
        <v>117</v>
      </c>
      <c r="K55" s="117" t="s">
        <v>120</v>
      </c>
      <c r="L55" s="22" t="s">
        <v>583</v>
      </c>
      <c r="M55" s="168"/>
    </row>
    <row r="56" ht="15.75" customHeight="1">
      <c r="A56" s="114" t="s">
        <v>630</v>
      </c>
      <c r="B56" s="119" t="s">
        <v>47</v>
      </c>
      <c r="C56" s="114" t="s">
        <v>631</v>
      </c>
      <c r="D56" s="168" t="s">
        <v>428</v>
      </c>
      <c r="E56" s="119" t="s">
        <v>632</v>
      </c>
      <c r="F56" s="119" t="s">
        <v>632</v>
      </c>
      <c r="G56" s="17" t="s">
        <v>117</v>
      </c>
      <c r="H56" s="117" t="s">
        <v>582</v>
      </c>
      <c r="I56" s="22" t="s">
        <v>431</v>
      </c>
      <c r="J56" s="17" t="s">
        <v>117</v>
      </c>
      <c r="K56" s="117" t="s">
        <v>120</v>
      </c>
      <c r="L56" s="22" t="s">
        <v>583</v>
      </c>
      <c r="M56" s="168"/>
    </row>
    <row r="57" ht="103.5" customHeight="1">
      <c r="A57" s="114" t="s">
        <v>633</v>
      </c>
      <c r="B57" s="119" t="s">
        <v>48</v>
      </c>
      <c r="C57" s="114" t="s">
        <v>634</v>
      </c>
      <c r="D57" s="168" t="s">
        <v>428</v>
      </c>
      <c r="E57" s="119" t="s">
        <v>635</v>
      </c>
      <c r="F57" s="119" t="s">
        <v>635</v>
      </c>
      <c r="G57" s="17" t="s">
        <v>117</v>
      </c>
      <c r="H57" s="117" t="s">
        <v>582</v>
      </c>
      <c r="I57" s="22" t="s">
        <v>431</v>
      </c>
      <c r="J57" s="17" t="s">
        <v>117</v>
      </c>
      <c r="K57" s="117" t="s">
        <v>120</v>
      </c>
      <c r="L57" s="22" t="s">
        <v>583</v>
      </c>
      <c r="M57" s="168"/>
    </row>
    <row r="58" ht="15.75" customHeight="1">
      <c r="A58" s="114" t="s">
        <v>636</v>
      </c>
      <c r="B58" s="119" t="s">
        <v>49</v>
      </c>
      <c r="C58" s="114" t="s">
        <v>637</v>
      </c>
      <c r="D58" s="168" t="s">
        <v>428</v>
      </c>
      <c r="E58" s="119" t="s">
        <v>638</v>
      </c>
      <c r="F58" s="119" t="s">
        <v>638</v>
      </c>
      <c r="G58" s="17" t="s">
        <v>117</v>
      </c>
      <c r="H58" s="117" t="s">
        <v>582</v>
      </c>
      <c r="I58" s="22" t="s">
        <v>431</v>
      </c>
      <c r="J58" s="17" t="s">
        <v>117</v>
      </c>
      <c r="K58" s="117" t="s">
        <v>120</v>
      </c>
      <c r="L58" s="22" t="s">
        <v>583</v>
      </c>
      <c r="M58" s="168"/>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F31:F33"/>
    <mergeCell ref="G31:L31"/>
    <mergeCell ref="M31:M33"/>
    <mergeCell ref="G32:I32"/>
    <mergeCell ref="J32:L32"/>
    <mergeCell ref="A34:M34"/>
    <mergeCell ref="A50:M50"/>
    <mergeCell ref="B1:F1"/>
    <mergeCell ref="B2:F2"/>
    <mergeCell ref="A31:A33"/>
    <mergeCell ref="B31:B33"/>
    <mergeCell ref="C31:C33"/>
    <mergeCell ref="D31:D33"/>
    <mergeCell ref="E31:E33"/>
  </mergeCells>
  <dataValidations>
    <dataValidation type="list" allowBlank="1" showErrorMessage="1" sqref="G35:G49 J35:J49 G51:G58 J51:J58">
      <formula1>"Passed,Untested,Failed,Blocked"</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15.43"/>
    <col customWidth="1" min="2" max="2" width="27.29"/>
    <col customWidth="1" min="3" max="3" width="44.0"/>
    <col customWidth="1" min="4" max="4" width="39.71"/>
    <col customWidth="1" min="5" max="6" width="36.86"/>
    <col customWidth="1" min="7" max="7" width="12.14"/>
    <col customWidth="1" min="8" max="8" width="15.86"/>
    <col customWidth="1" min="9" max="9" width="17.0"/>
    <col customWidth="1" min="10" max="10" width="12.14"/>
    <col customWidth="1" min="11" max="11" width="15.86"/>
    <col customWidth="1" min="12" max="12" width="17.0"/>
    <col customWidth="1" min="13" max="13" width="11.29"/>
    <col customWidth="1" min="14" max="26" width="8.71"/>
  </cols>
  <sheetData>
    <row r="1">
      <c r="A1" s="172" t="s">
        <v>98</v>
      </c>
      <c r="B1" s="150" t="s">
        <v>2</v>
      </c>
      <c r="C1" s="97"/>
      <c r="D1" s="97"/>
      <c r="E1" s="97"/>
      <c r="F1" s="98"/>
      <c r="G1" s="173"/>
    </row>
    <row r="2">
      <c r="A2" s="172" t="s">
        <v>99</v>
      </c>
      <c r="B2" s="174" t="s">
        <v>51</v>
      </c>
      <c r="C2" s="97"/>
      <c r="D2" s="97"/>
      <c r="E2" s="97"/>
      <c r="F2" s="98"/>
      <c r="G2" s="175"/>
    </row>
    <row r="3">
      <c r="A3" s="144"/>
      <c r="B3" s="101" t="s">
        <v>73</v>
      </c>
      <c r="C3" s="101" t="s">
        <v>74</v>
      </c>
      <c r="D3" s="101" t="s">
        <v>100</v>
      </c>
      <c r="E3" s="102" t="s">
        <v>76</v>
      </c>
      <c r="F3" s="101" t="s">
        <v>101</v>
      </c>
    </row>
    <row r="4">
      <c r="A4" s="45" t="s">
        <v>102</v>
      </c>
      <c r="B4" s="144">
        <v>33.0</v>
      </c>
      <c r="C4" s="144">
        <v>0.0</v>
      </c>
      <c r="D4" s="144">
        <v>0.0</v>
      </c>
      <c r="E4" s="144">
        <v>0.0</v>
      </c>
      <c r="F4" s="144">
        <f t="shared" ref="F4:F5" si="1">B4</f>
        <v>33</v>
      </c>
    </row>
    <row r="5">
      <c r="A5" s="45" t="s">
        <v>103</v>
      </c>
      <c r="B5" s="144">
        <v>33.0</v>
      </c>
      <c r="C5" s="144">
        <v>0.0</v>
      </c>
      <c r="D5" s="144">
        <v>0.0</v>
      </c>
      <c r="E5" s="144">
        <v>0.0</v>
      </c>
      <c r="F5" s="144">
        <f t="shared" si="1"/>
        <v>33</v>
      </c>
    </row>
    <row r="6">
      <c r="A6" s="10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A30" s="107"/>
      <c r="B30" s="107"/>
      <c r="C30" s="107"/>
      <c r="D30" s="107"/>
      <c r="E30" s="107"/>
      <c r="F30" s="107"/>
      <c r="G30" s="107"/>
      <c r="H30" s="107"/>
      <c r="I30" s="107"/>
      <c r="J30" s="107"/>
      <c r="K30" s="107"/>
      <c r="L30" s="107"/>
      <c r="M30" s="107"/>
    </row>
    <row r="31" ht="15.75" customHeight="1">
      <c r="A31" s="176" t="s">
        <v>104</v>
      </c>
      <c r="B31" s="176" t="s">
        <v>7</v>
      </c>
      <c r="C31" s="176" t="s">
        <v>105</v>
      </c>
      <c r="D31" s="176" t="s">
        <v>221</v>
      </c>
      <c r="E31" s="177" t="s">
        <v>106</v>
      </c>
      <c r="F31" s="176" t="s">
        <v>107</v>
      </c>
      <c r="G31" s="178" t="s">
        <v>108</v>
      </c>
      <c r="H31" s="97"/>
      <c r="I31" s="97"/>
      <c r="J31" s="97"/>
      <c r="K31" s="97"/>
      <c r="L31" s="98"/>
      <c r="M31" s="176" t="s">
        <v>109</v>
      </c>
    </row>
    <row r="32" ht="15.75" customHeight="1">
      <c r="A32" s="21"/>
      <c r="B32" s="21"/>
      <c r="C32" s="21"/>
      <c r="D32" s="21"/>
      <c r="E32" s="21"/>
      <c r="F32" s="21"/>
      <c r="G32" s="178" t="s">
        <v>81</v>
      </c>
      <c r="H32" s="97"/>
      <c r="I32" s="98"/>
      <c r="J32" s="178" t="s">
        <v>82</v>
      </c>
      <c r="K32" s="97"/>
      <c r="L32" s="98"/>
      <c r="M32" s="21"/>
    </row>
    <row r="33" ht="15.75" customHeight="1">
      <c r="A33" s="23"/>
      <c r="B33" s="23"/>
      <c r="C33" s="23"/>
      <c r="D33" s="23"/>
      <c r="E33" s="23"/>
      <c r="F33" s="23"/>
      <c r="G33" s="179" t="s">
        <v>110</v>
      </c>
      <c r="H33" s="180" t="s">
        <v>111</v>
      </c>
      <c r="I33" s="179" t="s">
        <v>112</v>
      </c>
      <c r="J33" s="179" t="s">
        <v>110</v>
      </c>
      <c r="K33" s="179" t="s">
        <v>111</v>
      </c>
      <c r="L33" s="179" t="s">
        <v>112</v>
      </c>
      <c r="M33" s="23"/>
    </row>
    <row r="34" ht="15.75" customHeight="1">
      <c r="A34" s="191" t="s">
        <v>639</v>
      </c>
      <c r="B34" s="97"/>
      <c r="C34" s="97"/>
      <c r="D34" s="97"/>
      <c r="E34" s="97"/>
      <c r="F34" s="97"/>
      <c r="G34" s="97"/>
      <c r="H34" s="97"/>
      <c r="I34" s="97"/>
      <c r="J34" s="97"/>
      <c r="K34" s="97"/>
      <c r="L34" s="97"/>
      <c r="M34" s="98"/>
    </row>
    <row r="35" ht="39.75" customHeight="1">
      <c r="A35" s="114" t="s">
        <v>640</v>
      </c>
      <c r="B35" s="114" t="s">
        <v>427</v>
      </c>
      <c r="C35" s="144"/>
      <c r="D35" s="168" t="s">
        <v>428</v>
      </c>
      <c r="E35" s="114" t="s">
        <v>429</v>
      </c>
      <c r="F35" s="114" t="s">
        <v>429</v>
      </c>
      <c r="G35" s="17" t="s">
        <v>117</v>
      </c>
      <c r="H35" s="117" t="s">
        <v>641</v>
      </c>
      <c r="I35" s="22" t="s">
        <v>431</v>
      </c>
      <c r="J35" s="17" t="s">
        <v>117</v>
      </c>
      <c r="K35" s="117" t="s">
        <v>120</v>
      </c>
      <c r="L35" s="22" t="s">
        <v>583</v>
      </c>
      <c r="M35" s="192"/>
    </row>
    <row r="36" ht="39.75" customHeight="1">
      <c r="A36" s="114" t="s">
        <v>642</v>
      </c>
      <c r="B36" s="114" t="s">
        <v>433</v>
      </c>
      <c r="C36" s="144"/>
      <c r="D36" s="168" t="s">
        <v>428</v>
      </c>
      <c r="E36" s="120" t="s">
        <v>434</v>
      </c>
      <c r="F36" s="120" t="s">
        <v>434</v>
      </c>
      <c r="G36" s="17" t="s">
        <v>117</v>
      </c>
      <c r="H36" s="117" t="s">
        <v>641</v>
      </c>
      <c r="I36" s="22" t="s">
        <v>431</v>
      </c>
      <c r="J36" s="17" t="s">
        <v>117</v>
      </c>
      <c r="K36" s="117" t="s">
        <v>120</v>
      </c>
      <c r="L36" s="22" t="s">
        <v>583</v>
      </c>
      <c r="M36" s="192"/>
    </row>
    <row r="37" ht="39.75" customHeight="1">
      <c r="A37" s="114" t="s">
        <v>643</v>
      </c>
      <c r="B37" s="114" t="s">
        <v>436</v>
      </c>
      <c r="C37" s="144"/>
      <c r="D37" s="168" t="s">
        <v>428</v>
      </c>
      <c r="E37" s="114" t="s">
        <v>429</v>
      </c>
      <c r="F37" s="114" t="s">
        <v>429</v>
      </c>
      <c r="G37" s="17" t="s">
        <v>117</v>
      </c>
      <c r="H37" s="117" t="s">
        <v>641</v>
      </c>
      <c r="I37" s="22" t="s">
        <v>431</v>
      </c>
      <c r="J37" s="17" t="s">
        <v>117</v>
      </c>
      <c r="K37" s="117" t="s">
        <v>120</v>
      </c>
      <c r="L37" s="22" t="s">
        <v>583</v>
      </c>
      <c r="M37" s="192"/>
    </row>
    <row r="38" ht="39.75" customHeight="1">
      <c r="A38" s="114" t="s">
        <v>644</v>
      </c>
      <c r="B38" s="114" t="s">
        <v>438</v>
      </c>
      <c r="C38" s="144"/>
      <c r="D38" s="168" t="s">
        <v>428</v>
      </c>
      <c r="E38" s="114" t="s">
        <v>429</v>
      </c>
      <c r="F38" s="114" t="s">
        <v>429</v>
      </c>
      <c r="G38" s="17" t="s">
        <v>117</v>
      </c>
      <c r="H38" s="117" t="s">
        <v>641</v>
      </c>
      <c r="I38" s="22" t="s">
        <v>431</v>
      </c>
      <c r="J38" s="17" t="s">
        <v>117</v>
      </c>
      <c r="K38" s="117" t="s">
        <v>120</v>
      </c>
      <c r="L38" s="22" t="s">
        <v>583</v>
      </c>
      <c r="M38" s="192"/>
    </row>
    <row r="39" ht="39.75" customHeight="1">
      <c r="A39" s="114" t="s">
        <v>645</v>
      </c>
      <c r="B39" s="114" t="s">
        <v>440</v>
      </c>
      <c r="C39" s="144"/>
      <c r="D39" s="168" t="s">
        <v>428</v>
      </c>
      <c r="E39" s="114" t="s">
        <v>429</v>
      </c>
      <c r="F39" s="114" t="s">
        <v>429</v>
      </c>
      <c r="G39" s="17" t="s">
        <v>117</v>
      </c>
      <c r="H39" s="117" t="s">
        <v>641</v>
      </c>
      <c r="I39" s="22" t="s">
        <v>431</v>
      </c>
      <c r="J39" s="17" t="s">
        <v>117</v>
      </c>
      <c r="K39" s="117" t="s">
        <v>120</v>
      </c>
      <c r="L39" s="22" t="s">
        <v>583</v>
      </c>
      <c r="M39" s="192"/>
    </row>
    <row r="40" ht="39.75" customHeight="1">
      <c r="A40" s="114" t="s">
        <v>646</v>
      </c>
      <c r="B40" s="114" t="s">
        <v>442</v>
      </c>
      <c r="C40" s="144"/>
      <c r="D40" s="168" t="s">
        <v>428</v>
      </c>
      <c r="E40" s="114" t="s">
        <v>136</v>
      </c>
      <c r="F40" s="114" t="s">
        <v>136</v>
      </c>
      <c r="G40" s="17" t="s">
        <v>117</v>
      </c>
      <c r="H40" s="117" t="s">
        <v>641</v>
      </c>
      <c r="I40" s="22" t="s">
        <v>431</v>
      </c>
      <c r="J40" s="17" t="s">
        <v>117</v>
      </c>
      <c r="K40" s="117" t="s">
        <v>120</v>
      </c>
      <c r="L40" s="22" t="s">
        <v>583</v>
      </c>
      <c r="M40" s="192"/>
    </row>
    <row r="41" ht="39.75" customHeight="1">
      <c r="A41" s="114" t="s">
        <v>647</v>
      </c>
      <c r="B41" s="114" t="s">
        <v>444</v>
      </c>
      <c r="C41" s="144"/>
      <c r="D41" s="168" t="s">
        <v>428</v>
      </c>
      <c r="E41" s="114" t="s">
        <v>445</v>
      </c>
      <c r="F41" s="114" t="s">
        <v>445</v>
      </c>
      <c r="G41" s="17" t="s">
        <v>117</v>
      </c>
      <c r="H41" s="117" t="s">
        <v>641</v>
      </c>
      <c r="I41" s="22" t="s">
        <v>431</v>
      </c>
      <c r="J41" s="17" t="s">
        <v>117</v>
      </c>
      <c r="K41" s="117" t="s">
        <v>120</v>
      </c>
      <c r="L41" s="22" t="s">
        <v>583</v>
      </c>
      <c r="M41" s="192"/>
    </row>
    <row r="42" ht="39.75" customHeight="1">
      <c r="A42" s="114" t="s">
        <v>648</v>
      </c>
      <c r="B42" s="114" t="s">
        <v>447</v>
      </c>
      <c r="C42" s="144"/>
      <c r="D42" s="168" t="s">
        <v>428</v>
      </c>
      <c r="E42" s="114" t="s">
        <v>445</v>
      </c>
      <c r="F42" s="114" t="s">
        <v>445</v>
      </c>
      <c r="G42" s="17" t="s">
        <v>117</v>
      </c>
      <c r="H42" s="117" t="s">
        <v>641</v>
      </c>
      <c r="I42" s="22" t="s">
        <v>431</v>
      </c>
      <c r="J42" s="17" t="s">
        <v>117</v>
      </c>
      <c r="K42" s="117" t="s">
        <v>120</v>
      </c>
      <c r="L42" s="22" t="s">
        <v>583</v>
      </c>
      <c r="M42" s="192"/>
    </row>
    <row r="43" ht="15.75" customHeight="1">
      <c r="A43" s="114" t="s">
        <v>649</v>
      </c>
      <c r="B43" s="114" t="s">
        <v>449</v>
      </c>
      <c r="C43" s="144"/>
      <c r="D43" s="168" t="s">
        <v>428</v>
      </c>
      <c r="E43" s="114" t="s">
        <v>445</v>
      </c>
      <c r="F43" s="114" t="s">
        <v>445</v>
      </c>
      <c r="G43" s="17" t="s">
        <v>117</v>
      </c>
      <c r="H43" s="117" t="s">
        <v>641</v>
      </c>
      <c r="I43" s="22" t="s">
        <v>431</v>
      </c>
      <c r="J43" s="17" t="s">
        <v>117</v>
      </c>
      <c r="K43" s="117" t="s">
        <v>120</v>
      </c>
      <c r="L43" s="22" t="s">
        <v>583</v>
      </c>
      <c r="M43" s="192"/>
    </row>
    <row r="44" ht="15.75" customHeight="1">
      <c r="A44" s="114" t="s">
        <v>650</v>
      </c>
      <c r="B44" s="114" t="s">
        <v>451</v>
      </c>
      <c r="C44" s="144"/>
      <c r="D44" s="168" t="s">
        <v>428</v>
      </c>
      <c r="E44" s="114" t="s">
        <v>445</v>
      </c>
      <c r="F44" s="114" t="s">
        <v>445</v>
      </c>
      <c r="G44" s="17" t="s">
        <v>117</v>
      </c>
      <c r="H44" s="117" t="s">
        <v>641</v>
      </c>
      <c r="I44" s="22" t="s">
        <v>431</v>
      </c>
      <c r="J44" s="17" t="s">
        <v>117</v>
      </c>
      <c r="K44" s="117" t="s">
        <v>120</v>
      </c>
      <c r="L44" s="22" t="s">
        <v>583</v>
      </c>
      <c r="M44" s="192"/>
    </row>
    <row r="45" ht="15.75" customHeight="1">
      <c r="A45" s="114" t="s">
        <v>651</v>
      </c>
      <c r="B45" s="114" t="s">
        <v>453</v>
      </c>
      <c r="C45" s="144"/>
      <c r="D45" s="168" t="s">
        <v>428</v>
      </c>
      <c r="E45" s="114" t="s">
        <v>445</v>
      </c>
      <c r="F45" s="114" t="s">
        <v>445</v>
      </c>
      <c r="G45" s="17" t="s">
        <v>117</v>
      </c>
      <c r="H45" s="117" t="s">
        <v>641</v>
      </c>
      <c r="I45" s="22" t="s">
        <v>431</v>
      </c>
      <c r="J45" s="17" t="s">
        <v>117</v>
      </c>
      <c r="K45" s="117" t="s">
        <v>120</v>
      </c>
      <c r="L45" s="22" t="s">
        <v>583</v>
      </c>
      <c r="M45" s="192"/>
    </row>
    <row r="46" ht="15.75" customHeight="1">
      <c r="A46" s="114" t="s">
        <v>652</v>
      </c>
      <c r="B46" s="114" t="s">
        <v>455</v>
      </c>
      <c r="C46" s="144"/>
      <c r="D46" s="168" t="s">
        <v>428</v>
      </c>
      <c r="E46" s="114" t="s">
        <v>445</v>
      </c>
      <c r="F46" s="114" t="s">
        <v>445</v>
      </c>
      <c r="G46" s="17" t="s">
        <v>117</v>
      </c>
      <c r="H46" s="117" t="s">
        <v>641</v>
      </c>
      <c r="I46" s="22" t="s">
        <v>431</v>
      </c>
      <c r="J46" s="17" t="s">
        <v>117</v>
      </c>
      <c r="K46" s="117" t="s">
        <v>120</v>
      </c>
      <c r="L46" s="22" t="s">
        <v>583</v>
      </c>
      <c r="M46" s="192"/>
    </row>
    <row r="47" ht="15.75" customHeight="1">
      <c r="A47" s="114" t="s">
        <v>653</v>
      </c>
      <c r="B47" s="114" t="s">
        <v>457</v>
      </c>
      <c r="C47" s="144"/>
      <c r="D47" s="168" t="s">
        <v>428</v>
      </c>
      <c r="E47" s="114" t="s">
        <v>136</v>
      </c>
      <c r="F47" s="114" t="s">
        <v>136</v>
      </c>
      <c r="G47" s="17" t="s">
        <v>117</v>
      </c>
      <c r="H47" s="117" t="s">
        <v>641</v>
      </c>
      <c r="I47" s="22" t="s">
        <v>431</v>
      </c>
      <c r="J47" s="17" t="s">
        <v>117</v>
      </c>
      <c r="K47" s="117" t="s">
        <v>120</v>
      </c>
      <c r="L47" s="22" t="s">
        <v>583</v>
      </c>
      <c r="M47" s="192"/>
    </row>
    <row r="48" ht="15.75" customHeight="1">
      <c r="A48" s="114" t="s">
        <v>654</v>
      </c>
      <c r="B48" s="114" t="s">
        <v>655</v>
      </c>
      <c r="C48" s="144"/>
      <c r="D48" s="168" t="s">
        <v>428</v>
      </c>
      <c r="E48" s="114" t="s">
        <v>136</v>
      </c>
      <c r="F48" s="114" t="s">
        <v>136</v>
      </c>
      <c r="G48" s="17" t="s">
        <v>117</v>
      </c>
      <c r="H48" s="117" t="s">
        <v>641</v>
      </c>
      <c r="I48" s="22" t="s">
        <v>431</v>
      </c>
      <c r="J48" s="17" t="s">
        <v>117</v>
      </c>
      <c r="K48" s="117" t="s">
        <v>120</v>
      </c>
      <c r="L48" s="22" t="s">
        <v>583</v>
      </c>
      <c r="M48" s="192"/>
    </row>
    <row r="49" ht="15.75" customHeight="1">
      <c r="A49" s="114" t="s">
        <v>656</v>
      </c>
      <c r="B49" s="115" t="s">
        <v>657</v>
      </c>
      <c r="C49" s="144"/>
      <c r="D49" s="168" t="s">
        <v>428</v>
      </c>
      <c r="E49" s="114" t="s">
        <v>136</v>
      </c>
      <c r="F49" s="114" t="s">
        <v>136</v>
      </c>
      <c r="G49" s="17" t="s">
        <v>117</v>
      </c>
      <c r="H49" s="117" t="s">
        <v>641</v>
      </c>
      <c r="I49" s="22" t="s">
        <v>431</v>
      </c>
      <c r="J49" s="17" t="s">
        <v>117</v>
      </c>
      <c r="K49" s="117" t="s">
        <v>120</v>
      </c>
      <c r="L49" s="22" t="s">
        <v>583</v>
      </c>
      <c r="M49" s="192"/>
    </row>
    <row r="50" ht="15.75" customHeight="1">
      <c r="A50" s="114" t="s">
        <v>658</v>
      </c>
      <c r="B50" s="114" t="s">
        <v>659</v>
      </c>
      <c r="C50" s="144"/>
      <c r="D50" s="168" t="s">
        <v>428</v>
      </c>
      <c r="E50" s="114" t="s">
        <v>429</v>
      </c>
      <c r="F50" s="114" t="s">
        <v>429</v>
      </c>
      <c r="G50" s="17" t="s">
        <v>117</v>
      </c>
      <c r="H50" s="117" t="s">
        <v>641</v>
      </c>
      <c r="I50" s="22" t="s">
        <v>431</v>
      </c>
      <c r="J50" s="17" t="s">
        <v>117</v>
      </c>
      <c r="K50" s="117" t="s">
        <v>120</v>
      </c>
      <c r="L50" s="22" t="s">
        <v>583</v>
      </c>
      <c r="M50" s="192"/>
    </row>
    <row r="51" ht="15.75" customHeight="1">
      <c r="A51" s="114" t="s">
        <v>660</v>
      </c>
      <c r="B51" s="114" t="s">
        <v>661</v>
      </c>
      <c r="C51" s="144"/>
      <c r="D51" s="168" t="s">
        <v>428</v>
      </c>
      <c r="E51" s="114" t="s">
        <v>429</v>
      </c>
      <c r="F51" s="114" t="s">
        <v>429</v>
      </c>
      <c r="G51" s="17" t="s">
        <v>117</v>
      </c>
      <c r="H51" s="117" t="s">
        <v>641</v>
      </c>
      <c r="I51" s="22" t="s">
        <v>431</v>
      </c>
      <c r="J51" s="17" t="s">
        <v>117</v>
      </c>
      <c r="K51" s="117" t="s">
        <v>120</v>
      </c>
      <c r="L51" s="22" t="s">
        <v>583</v>
      </c>
      <c r="M51" s="192"/>
    </row>
    <row r="52" ht="15.75" customHeight="1">
      <c r="A52" s="114" t="s">
        <v>662</v>
      </c>
      <c r="B52" s="114" t="s">
        <v>663</v>
      </c>
      <c r="C52" s="144"/>
      <c r="D52" s="168" t="s">
        <v>428</v>
      </c>
      <c r="E52" s="120" t="s">
        <v>664</v>
      </c>
      <c r="F52" s="120" t="s">
        <v>664</v>
      </c>
      <c r="G52" s="17" t="s">
        <v>117</v>
      </c>
      <c r="H52" s="117" t="s">
        <v>641</v>
      </c>
      <c r="I52" s="22" t="s">
        <v>431</v>
      </c>
      <c r="J52" s="17" t="s">
        <v>117</v>
      </c>
      <c r="K52" s="117" t="s">
        <v>120</v>
      </c>
      <c r="L52" s="22" t="s">
        <v>583</v>
      </c>
      <c r="M52" s="192"/>
    </row>
    <row r="53" ht="15.75" customHeight="1">
      <c r="A53" s="114" t="s">
        <v>665</v>
      </c>
      <c r="B53" s="114" t="s">
        <v>666</v>
      </c>
      <c r="C53" s="144"/>
      <c r="D53" s="168" t="s">
        <v>428</v>
      </c>
      <c r="E53" s="120" t="s">
        <v>667</v>
      </c>
      <c r="F53" s="120" t="s">
        <v>667</v>
      </c>
      <c r="G53" s="17" t="s">
        <v>117</v>
      </c>
      <c r="H53" s="117" t="s">
        <v>641</v>
      </c>
      <c r="I53" s="22" t="s">
        <v>431</v>
      </c>
      <c r="J53" s="17" t="s">
        <v>117</v>
      </c>
      <c r="K53" s="117" t="s">
        <v>120</v>
      </c>
      <c r="L53" s="22" t="s">
        <v>583</v>
      </c>
      <c r="M53" s="192"/>
    </row>
    <row r="54" ht="15.75" customHeight="1">
      <c r="A54" s="114" t="s">
        <v>668</v>
      </c>
      <c r="B54" s="114" t="s">
        <v>669</v>
      </c>
      <c r="C54" s="144"/>
      <c r="D54" s="168" t="s">
        <v>428</v>
      </c>
      <c r="E54" s="114" t="s">
        <v>429</v>
      </c>
      <c r="F54" s="114" t="s">
        <v>429</v>
      </c>
      <c r="G54" s="17" t="s">
        <v>117</v>
      </c>
      <c r="H54" s="117" t="s">
        <v>641</v>
      </c>
      <c r="I54" s="22" t="s">
        <v>431</v>
      </c>
      <c r="J54" s="17" t="s">
        <v>117</v>
      </c>
      <c r="K54" s="117" t="s">
        <v>120</v>
      </c>
      <c r="L54" s="22" t="s">
        <v>583</v>
      </c>
      <c r="M54" s="192"/>
    </row>
    <row r="55" ht="15.75" customHeight="1">
      <c r="A55" s="114" t="s">
        <v>670</v>
      </c>
      <c r="B55" s="114" t="s">
        <v>671</v>
      </c>
      <c r="C55" s="144"/>
      <c r="D55" s="168" t="s">
        <v>428</v>
      </c>
      <c r="E55" s="114" t="s">
        <v>136</v>
      </c>
      <c r="F55" s="114" t="s">
        <v>136</v>
      </c>
      <c r="G55" s="17" t="s">
        <v>117</v>
      </c>
      <c r="H55" s="117" t="s">
        <v>641</v>
      </c>
      <c r="I55" s="22" t="s">
        <v>431</v>
      </c>
      <c r="J55" s="17" t="s">
        <v>117</v>
      </c>
      <c r="K55" s="117" t="s">
        <v>120</v>
      </c>
      <c r="L55" s="22" t="s">
        <v>583</v>
      </c>
      <c r="M55" s="192"/>
    </row>
    <row r="56" ht="15.75" customHeight="1">
      <c r="A56" s="114" t="s">
        <v>672</v>
      </c>
      <c r="B56" s="114" t="s">
        <v>673</v>
      </c>
      <c r="C56" s="144"/>
      <c r="D56" s="168" t="s">
        <v>428</v>
      </c>
      <c r="E56" s="114" t="s">
        <v>429</v>
      </c>
      <c r="F56" s="114" t="s">
        <v>429</v>
      </c>
      <c r="G56" s="17" t="s">
        <v>117</v>
      </c>
      <c r="H56" s="117" t="s">
        <v>641</v>
      </c>
      <c r="I56" s="22" t="s">
        <v>431</v>
      </c>
      <c r="J56" s="17" t="s">
        <v>117</v>
      </c>
      <c r="K56" s="117" t="s">
        <v>120</v>
      </c>
      <c r="L56" s="22" t="s">
        <v>583</v>
      </c>
      <c r="M56" s="192"/>
    </row>
    <row r="57" ht="15.75" customHeight="1">
      <c r="A57" s="114" t="s">
        <v>674</v>
      </c>
      <c r="B57" s="114" t="s">
        <v>675</v>
      </c>
      <c r="C57" s="144"/>
      <c r="D57" s="168" t="s">
        <v>428</v>
      </c>
      <c r="E57" s="114" t="s">
        <v>429</v>
      </c>
      <c r="F57" s="114" t="s">
        <v>429</v>
      </c>
      <c r="G57" s="17" t="s">
        <v>117</v>
      </c>
      <c r="H57" s="117" t="s">
        <v>641</v>
      </c>
      <c r="I57" s="22" t="s">
        <v>431</v>
      </c>
      <c r="J57" s="17" t="s">
        <v>117</v>
      </c>
      <c r="K57" s="117" t="s">
        <v>120</v>
      </c>
      <c r="L57" s="22" t="s">
        <v>583</v>
      </c>
      <c r="M57" s="192"/>
    </row>
    <row r="58" ht="15.75" customHeight="1">
      <c r="A58" s="114" t="s">
        <v>676</v>
      </c>
      <c r="B58" s="114" t="s">
        <v>677</v>
      </c>
      <c r="C58" s="144"/>
      <c r="D58" s="168" t="s">
        <v>428</v>
      </c>
      <c r="E58" s="114" t="s">
        <v>136</v>
      </c>
      <c r="F58" s="114" t="s">
        <v>136</v>
      </c>
      <c r="G58" s="17" t="s">
        <v>117</v>
      </c>
      <c r="H58" s="117" t="s">
        <v>641</v>
      </c>
      <c r="I58" s="22" t="s">
        <v>431</v>
      </c>
      <c r="J58" s="17" t="s">
        <v>117</v>
      </c>
      <c r="K58" s="117" t="s">
        <v>120</v>
      </c>
      <c r="L58" s="22" t="s">
        <v>583</v>
      </c>
      <c r="M58" s="192"/>
    </row>
    <row r="59" ht="15.75" customHeight="1">
      <c r="A59" s="114" t="s">
        <v>678</v>
      </c>
      <c r="B59" s="114" t="s">
        <v>679</v>
      </c>
      <c r="C59" s="144"/>
      <c r="D59" s="168" t="s">
        <v>428</v>
      </c>
      <c r="E59" s="114" t="s">
        <v>429</v>
      </c>
      <c r="F59" s="114" t="s">
        <v>429</v>
      </c>
      <c r="G59" s="17" t="s">
        <v>117</v>
      </c>
      <c r="H59" s="117" t="s">
        <v>641</v>
      </c>
      <c r="I59" s="22" t="s">
        <v>431</v>
      </c>
      <c r="J59" s="17" t="s">
        <v>117</v>
      </c>
      <c r="K59" s="117" t="s">
        <v>120</v>
      </c>
      <c r="L59" s="22" t="s">
        <v>583</v>
      </c>
      <c r="M59" s="192"/>
    </row>
    <row r="60" ht="15.75" customHeight="1">
      <c r="A60" s="114" t="s">
        <v>680</v>
      </c>
      <c r="B60" s="114" t="s">
        <v>681</v>
      </c>
      <c r="C60" s="144"/>
      <c r="D60" s="168" t="s">
        <v>428</v>
      </c>
      <c r="E60" s="114" t="s">
        <v>136</v>
      </c>
      <c r="F60" s="114" t="s">
        <v>136</v>
      </c>
      <c r="G60" s="17" t="s">
        <v>117</v>
      </c>
      <c r="H60" s="117" t="s">
        <v>641</v>
      </c>
      <c r="I60" s="22" t="s">
        <v>431</v>
      </c>
      <c r="J60" s="17" t="s">
        <v>117</v>
      </c>
      <c r="K60" s="117" t="s">
        <v>120</v>
      </c>
      <c r="L60" s="22" t="s">
        <v>583</v>
      </c>
      <c r="M60" s="192"/>
    </row>
    <row r="61" ht="15.75" customHeight="1">
      <c r="A61" s="143" t="s">
        <v>682</v>
      </c>
      <c r="B61" s="97"/>
      <c r="C61" s="97"/>
      <c r="D61" s="97"/>
      <c r="E61" s="97"/>
      <c r="F61" s="97"/>
      <c r="G61" s="97"/>
      <c r="H61" s="97"/>
      <c r="I61" s="97"/>
      <c r="J61" s="97"/>
      <c r="K61" s="97"/>
      <c r="L61" s="97"/>
      <c r="M61" s="98"/>
    </row>
    <row r="62" ht="15.75" customHeight="1">
      <c r="A62" s="131" t="s">
        <v>683</v>
      </c>
      <c r="B62" s="131" t="s">
        <v>50</v>
      </c>
      <c r="C62" s="114" t="s">
        <v>684</v>
      </c>
      <c r="D62" s="168" t="s">
        <v>428</v>
      </c>
      <c r="E62" s="131" t="s">
        <v>685</v>
      </c>
      <c r="F62" s="131" t="s">
        <v>685</v>
      </c>
      <c r="G62" s="17" t="s">
        <v>117</v>
      </c>
      <c r="H62" s="117" t="s">
        <v>641</v>
      </c>
      <c r="I62" s="22" t="s">
        <v>431</v>
      </c>
      <c r="J62" s="17" t="s">
        <v>117</v>
      </c>
      <c r="K62" s="117" t="s">
        <v>120</v>
      </c>
      <c r="L62" s="22" t="s">
        <v>583</v>
      </c>
      <c r="M62" s="193"/>
    </row>
    <row r="63" ht="15.75" customHeight="1">
      <c r="A63" s="131" t="s">
        <v>686</v>
      </c>
      <c r="B63" s="131" t="s">
        <v>52</v>
      </c>
      <c r="C63" s="114" t="s">
        <v>687</v>
      </c>
      <c r="D63" s="168" t="s">
        <v>428</v>
      </c>
      <c r="E63" s="131" t="s">
        <v>688</v>
      </c>
      <c r="F63" s="131" t="s">
        <v>688</v>
      </c>
      <c r="G63" s="17" t="s">
        <v>117</v>
      </c>
      <c r="H63" s="117" t="s">
        <v>641</v>
      </c>
      <c r="I63" s="22" t="s">
        <v>431</v>
      </c>
      <c r="J63" s="17" t="s">
        <v>117</v>
      </c>
      <c r="K63" s="117" t="s">
        <v>120</v>
      </c>
      <c r="L63" s="22" t="s">
        <v>583</v>
      </c>
      <c r="M63" s="193"/>
    </row>
    <row r="64" ht="15.75" customHeight="1">
      <c r="A64" s="131" t="s">
        <v>689</v>
      </c>
      <c r="B64" s="131" t="s">
        <v>53</v>
      </c>
      <c r="C64" s="114" t="s">
        <v>690</v>
      </c>
      <c r="D64" s="168" t="s">
        <v>428</v>
      </c>
      <c r="E64" s="131" t="s">
        <v>691</v>
      </c>
      <c r="F64" s="131" t="s">
        <v>691</v>
      </c>
      <c r="G64" s="17" t="s">
        <v>117</v>
      </c>
      <c r="H64" s="117" t="s">
        <v>641</v>
      </c>
      <c r="I64" s="22" t="s">
        <v>431</v>
      </c>
      <c r="J64" s="17" t="s">
        <v>117</v>
      </c>
      <c r="K64" s="117" t="s">
        <v>120</v>
      </c>
      <c r="L64" s="22" t="s">
        <v>583</v>
      </c>
      <c r="M64" s="193"/>
    </row>
    <row r="65" ht="15.75" customHeight="1">
      <c r="A65" s="131" t="s">
        <v>692</v>
      </c>
      <c r="B65" s="131" t="s">
        <v>54</v>
      </c>
      <c r="C65" s="114" t="s">
        <v>693</v>
      </c>
      <c r="D65" s="168" t="s">
        <v>694</v>
      </c>
      <c r="E65" s="131" t="s">
        <v>695</v>
      </c>
      <c r="F65" s="131" t="s">
        <v>695</v>
      </c>
      <c r="G65" s="17" t="s">
        <v>117</v>
      </c>
      <c r="H65" s="117" t="s">
        <v>641</v>
      </c>
      <c r="I65" s="22" t="s">
        <v>431</v>
      </c>
      <c r="J65" s="17" t="s">
        <v>117</v>
      </c>
      <c r="K65" s="117" t="s">
        <v>120</v>
      </c>
      <c r="L65" s="22" t="s">
        <v>583</v>
      </c>
      <c r="M65" s="193"/>
    </row>
    <row r="66" ht="15.75" customHeight="1">
      <c r="A66" s="131" t="s">
        <v>696</v>
      </c>
      <c r="B66" s="131" t="s">
        <v>55</v>
      </c>
      <c r="C66" s="114" t="s">
        <v>693</v>
      </c>
      <c r="D66" s="168" t="s">
        <v>694</v>
      </c>
      <c r="E66" s="131" t="s">
        <v>697</v>
      </c>
      <c r="F66" s="131" t="s">
        <v>697</v>
      </c>
      <c r="G66" s="17" t="s">
        <v>117</v>
      </c>
      <c r="H66" s="117" t="s">
        <v>641</v>
      </c>
      <c r="I66" s="22" t="s">
        <v>431</v>
      </c>
      <c r="J66" s="17" t="s">
        <v>117</v>
      </c>
      <c r="K66" s="117" t="s">
        <v>120</v>
      </c>
      <c r="L66" s="22" t="s">
        <v>583</v>
      </c>
      <c r="M66" s="193"/>
    </row>
    <row r="67" ht="15.75" customHeight="1">
      <c r="A67" s="131" t="s">
        <v>698</v>
      </c>
      <c r="B67" s="131" t="s">
        <v>56</v>
      </c>
      <c r="C67" s="114" t="s">
        <v>699</v>
      </c>
      <c r="D67" s="168" t="s">
        <v>428</v>
      </c>
      <c r="E67" s="131" t="s">
        <v>700</v>
      </c>
      <c r="F67" s="131" t="s">
        <v>700</v>
      </c>
      <c r="G67" s="17" t="s">
        <v>117</v>
      </c>
      <c r="H67" s="117" t="s">
        <v>641</v>
      </c>
      <c r="I67" s="22" t="s">
        <v>431</v>
      </c>
      <c r="J67" s="17" t="s">
        <v>117</v>
      </c>
      <c r="K67" s="117" t="s">
        <v>120</v>
      </c>
      <c r="L67" s="22" t="s">
        <v>583</v>
      </c>
      <c r="M67" s="193"/>
    </row>
    <row r="68" ht="15.75" customHeight="1">
      <c r="A68" s="131" t="s">
        <v>701</v>
      </c>
      <c r="B68" s="131" t="s">
        <v>57</v>
      </c>
      <c r="C68" s="114" t="s">
        <v>693</v>
      </c>
      <c r="D68" s="168" t="s">
        <v>428</v>
      </c>
      <c r="E68" s="131" t="s">
        <v>702</v>
      </c>
      <c r="F68" s="131" t="s">
        <v>702</v>
      </c>
      <c r="G68" s="17" t="s">
        <v>117</v>
      </c>
      <c r="H68" s="117" t="s">
        <v>641</v>
      </c>
      <c r="I68" s="22" t="s">
        <v>431</v>
      </c>
      <c r="J68" s="17" t="s">
        <v>117</v>
      </c>
      <c r="K68" s="117" t="s">
        <v>120</v>
      </c>
      <c r="L68" s="22" t="s">
        <v>583</v>
      </c>
      <c r="M68" s="193"/>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E31:E33"/>
    <mergeCell ref="F31:F33"/>
    <mergeCell ref="G31:L31"/>
    <mergeCell ref="M31:M33"/>
    <mergeCell ref="G32:I32"/>
    <mergeCell ref="J32:L32"/>
    <mergeCell ref="A34:M34"/>
    <mergeCell ref="A61:M61"/>
    <mergeCell ref="B1:F1"/>
    <mergeCell ref="B2:F2"/>
    <mergeCell ref="A6:M30"/>
    <mergeCell ref="A31:A33"/>
    <mergeCell ref="B31:B33"/>
    <mergeCell ref="C31:C33"/>
    <mergeCell ref="D31:D33"/>
  </mergeCells>
  <dataValidations>
    <dataValidation type="list" allowBlank="1" showErrorMessage="1" sqref="G35:G60 J35:J60 G62:G68 J62:J68">
      <formula1>"Passed,Untested,Failed,Blocked"</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sheetViews>
  <sheetFormatPr customHeight="1" defaultColWidth="14.43" defaultRowHeight="15.0"/>
  <cols>
    <col customWidth="1" min="1" max="1" width="17.0"/>
    <col customWidth="1" min="2" max="2" width="30.29"/>
    <col customWidth="1" min="3" max="3" width="47.0"/>
    <col customWidth="1" min="4" max="4" width="41.43"/>
    <col customWidth="1" min="5" max="5" width="35.86"/>
    <col customWidth="1" min="6" max="6" width="37.29"/>
    <col customWidth="1" min="7" max="7" width="13.14"/>
    <col customWidth="1" min="8" max="8" width="15.29"/>
    <col customWidth="1" min="9" max="9" width="15.86"/>
    <col customWidth="1" min="10" max="10" width="14.43"/>
    <col customWidth="1" min="11" max="26" width="23.14"/>
  </cols>
  <sheetData>
    <row r="1">
      <c r="A1" s="172" t="s">
        <v>98</v>
      </c>
      <c r="B1" s="150" t="s">
        <v>2</v>
      </c>
      <c r="C1" s="97"/>
      <c r="D1" s="97"/>
      <c r="E1" s="97"/>
      <c r="F1" s="98"/>
      <c r="G1" s="173"/>
    </row>
    <row r="2">
      <c r="A2" s="172" t="s">
        <v>99</v>
      </c>
      <c r="B2" s="174" t="s">
        <v>59</v>
      </c>
      <c r="C2" s="97"/>
      <c r="D2" s="97"/>
      <c r="E2" s="97"/>
      <c r="F2" s="98"/>
      <c r="G2" s="175"/>
    </row>
    <row r="3">
      <c r="A3" s="144"/>
      <c r="B3" s="101" t="s">
        <v>73</v>
      </c>
      <c r="C3" s="101" t="s">
        <v>74</v>
      </c>
      <c r="D3" s="101" t="s">
        <v>100</v>
      </c>
      <c r="E3" s="102" t="s">
        <v>76</v>
      </c>
      <c r="F3" s="101" t="s">
        <v>101</v>
      </c>
    </row>
    <row r="4">
      <c r="A4" s="45" t="s">
        <v>102</v>
      </c>
      <c r="B4" s="144">
        <v>18.0</v>
      </c>
      <c r="C4" s="144">
        <v>0.0</v>
      </c>
      <c r="D4" s="144">
        <v>0.0</v>
      </c>
      <c r="E4" s="144">
        <v>0.0</v>
      </c>
      <c r="F4" s="144">
        <f t="shared" ref="F4:F5" si="1">B4</f>
        <v>18</v>
      </c>
    </row>
    <row r="5">
      <c r="A5" s="45" t="s">
        <v>103</v>
      </c>
      <c r="B5" s="144">
        <v>18.0</v>
      </c>
      <c r="C5" s="144">
        <v>0.0</v>
      </c>
      <c r="D5" s="144">
        <v>0.0</v>
      </c>
      <c r="E5" s="144">
        <v>0.0</v>
      </c>
      <c r="F5" s="144">
        <f t="shared" si="1"/>
        <v>18</v>
      </c>
    </row>
    <row r="6">
      <c r="A6" s="104"/>
      <c r="B6" s="105"/>
      <c r="C6" s="105"/>
      <c r="D6" s="194"/>
      <c r="E6" s="105"/>
      <c r="F6" s="195"/>
    </row>
    <row r="7">
      <c r="D7" s="196"/>
      <c r="F7" s="196"/>
    </row>
    <row r="8">
      <c r="D8" s="196"/>
      <c r="F8" s="196"/>
    </row>
    <row r="9">
      <c r="A9" s="107"/>
      <c r="B9" s="107"/>
      <c r="C9" s="107"/>
      <c r="D9" s="53"/>
      <c r="E9" s="107"/>
      <c r="F9" s="53"/>
      <c r="G9" s="107"/>
      <c r="H9" s="107"/>
    </row>
    <row r="10">
      <c r="A10" s="104"/>
      <c r="B10" s="105"/>
      <c r="C10" s="105"/>
      <c r="D10" s="194"/>
      <c r="E10" s="105"/>
      <c r="F10" s="195"/>
    </row>
    <row r="11">
      <c r="D11" s="196"/>
      <c r="F11" s="196"/>
    </row>
    <row r="12">
      <c r="D12" s="196"/>
      <c r="F12" s="196"/>
    </row>
    <row r="13">
      <c r="A13" s="107"/>
      <c r="B13" s="107"/>
      <c r="C13" s="107"/>
      <c r="D13" s="53"/>
      <c r="E13" s="107"/>
      <c r="F13" s="53"/>
      <c r="G13" s="107"/>
      <c r="H13" s="107"/>
    </row>
    <row r="14">
      <c r="A14" s="104"/>
      <c r="B14" s="105"/>
      <c r="C14" s="105"/>
      <c r="D14" s="194"/>
      <c r="E14" s="105"/>
      <c r="F14" s="195"/>
    </row>
    <row r="15">
      <c r="D15" s="196"/>
      <c r="F15" s="196"/>
    </row>
    <row r="16">
      <c r="D16" s="196"/>
      <c r="F16" s="196"/>
    </row>
    <row r="17">
      <c r="A17" s="107"/>
      <c r="B17" s="107"/>
      <c r="C17" s="107"/>
      <c r="D17" s="53"/>
      <c r="E17" s="107"/>
      <c r="F17" s="53"/>
      <c r="G17" s="107"/>
      <c r="H17" s="107"/>
    </row>
    <row r="18">
      <c r="A18" s="104"/>
      <c r="B18" s="105"/>
      <c r="C18" s="105"/>
      <c r="D18" s="194"/>
      <c r="E18" s="105"/>
      <c r="F18" s="195"/>
    </row>
    <row r="19">
      <c r="D19" s="196"/>
      <c r="F19" s="196"/>
    </row>
    <row r="20">
      <c r="D20" s="196"/>
      <c r="F20" s="196"/>
    </row>
    <row r="21" ht="15.75" customHeight="1">
      <c r="A21" s="107"/>
      <c r="B21" s="107"/>
      <c r="C21" s="107"/>
      <c r="D21" s="53"/>
      <c r="E21" s="107"/>
      <c r="F21" s="53"/>
      <c r="G21" s="107"/>
      <c r="H21" s="107"/>
    </row>
    <row r="22" ht="15.75" customHeight="1">
      <c r="A22" s="104"/>
      <c r="B22" s="105"/>
      <c r="C22" s="105"/>
      <c r="D22" s="194"/>
      <c r="E22" s="105"/>
      <c r="F22" s="195"/>
    </row>
    <row r="23" ht="15.75" customHeight="1">
      <c r="D23" s="196"/>
      <c r="F23" s="196"/>
    </row>
    <row r="24" ht="15.75" customHeight="1">
      <c r="D24" s="196"/>
      <c r="F24" s="196"/>
    </row>
    <row r="25" ht="15.75" customHeight="1">
      <c r="A25" s="107"/>
      <c r="B25" s="107"/>
      <c r="C25" s="107"/>
      <c r="D25" s="53"/>
      <c r="E25" s="107"/>
      <c r="F25" s="53"/>
      <c r="G25" s="107"/>
      <c r="H25" s="107"/>
    </row>
    <row r="26" ht="15.75" customHeight="1">
      <c r="A26" s="104"/>
      <c r="B26" s="105"/>
      <c r="C26" s="105"/>
      <c r="D26" s="194"/>
      <c r="E26" s="105"/>
      <c r="F26" s="195"/>
    </row>
    <row r="27" ht="15.75" customHeight="1">
      <c r="D27" s="196"/>
      <c r="F27" s="196"/>
    </row>
    <row r="28" ht="15.75" customHeight="1">
      <c r="D28" s="196"/>
      <c r="F28" s="196"/>
    </row>
    <row r="29" ht="15.75" customHeight="1">
      <c r="A29" s="107"/>
      <c r="B29" s="107"/>
      <c r="C29" s="107"/>
      <c r="D29" s="53"/>
      <c r="E29" s="107"/>
      <c r="F29" s="53"/>
      <c r="G29" s="107"/>
      <c r="H29" s="107"/>
    </row>
    <row r="30" ht="15.75" customHeight="1">
      <c r="A30" s="197"/>
      <c r="B30" s="197"/>
      <c r="C30" s="197"/>
      <c r="D30" s="197"/>
    </row>
    <row r="31" ht="15.75" customHeight="1">
      <c r="A31" s="176" t="s">
        <v>104</v>
      </c>
      <c r="B31" s="176" t="s">
        <v>7</v>
      </c>
      <c r="C31" s="176" t="s">
        <v>105</v>
      </c>
      <c r="D31" s="176" t="s">
        <v>221</v>
      </c>
      <c r="E31" s="177" t="s">
        <v>106</v>
      </c>
      <c r="F31" s="176" t="s">
        <v>107</v>
      </c>
      <c r="G31" s="178" t="s">
        <v>108</v>
      </c>
      <c r="H31" s="97"/>
      <c r="I31" s="97"/>
      <c r="J31" s="97"/>
      <c r="K31" s="97"/>
      <c r="L31" s="98"/>
      <c r="M31" s="176" t="s">
        <v>109</v>
      </c>
    </row>
    <row r="32" ht="15.75" customHeight="1">
      <c r="A32" s="21"/>
      <c r="B32" s="21"/>
      <c r="C32" s="21"/>
      <c r="D32" s="21"/>
      <c r="E32" s="21"/>
      <c r="F32" s="21"/>
      <c r="G32" s="178" t="s">
        <v>81</v>
      </c>
      <c r="H32" s="97"/>
      <c r="I32" s="98"/>
      <c r="J32" s="178" t="s">
        <v>82</v>
      </c>
      <c r="K32" s="97"/>
      <c r="L32" s="98"/>
      <c r="M32" s="21"/>
    </row>
    <row r="33" ht="15.75" customHeight="1">
      <c r="A33" s="23"/>
      <c r="B33" s="23"/>
      <c r="C33" s="23"/>
      <c r="D33" s="23"/>
      <c r="E33" s="23"/>
      <c r="F33" s="23"/>
      <c r="G33" s="179" t="s">
        <v>110</v>
      </c>
      <c r="H33" s="180" t="s">
        <v>111</v>
      </c>
      <c r="I33" s="179" t="s">
        <v>112</v>
      </c>
      <c r="J33" s="179" t="s">
        <v>110</v>
      </c>
      <c r="K33" s="179" t="s">
        <v>111</v>
      </c>
      <c r="L33" s="179" t="s">
        <v>112</v>
      </c>
      <c r="M33" s="23"/>
    </row>
    <row r="34" ht="15.75" customHeight="1">
      <c r="A34" s="191" t="s">
        <v>703</v>
      </c>
      <c r="B34" s="97"/>
      <c r="C34" s="97"/>
      <c r="D34" s="97"/>
      <c r="E34" s="97"/>
      <c r="F34" s="97"/>
      <c r="G34" s="97"/>
      <c r="H34" s="97"/>
      <c r="I34" s="97"/>
      <c r="J34" s="97"/>
      <c r="K34" s="97"/>
      <c r="L34" s="97"/>
      <c r="M34" s="98"/>
    </row>
    <row r="35" ht="39.75" customHeight="1">
      <c r="A35" s="115" t="s">
        <v>704</v>
      </c>
      <c r="B35" s="114" t="s">
        <v>659</v>
      </c>
      <c r="C35" s="144"/>
      <c r="D35" s="168" t="s">
        <v>428</v>
      </c>
      <c r="E35" s="114" t="s">
        <v>429</v>
      </c>
      <c r="F35" s="114" t="s">
        <v>429</v>
      </c>
      <c r="G35" s="17" t="s">
        <v>117</v>
      </c>
      <c r="H35" s="117" t="s">
        <v>705</v>
      </c>
      <c r="I35" s="22" t="s">
        <v>583</v>
      </c>
      <c r="J35" s="17" t="s">
        <v>117</v>
      </c>
      <c r="K35" s="117" t="s">
        <v>120</v>
      </c>
      <c r="L35" s="22" t="s">
        <v>431</v>
      </c>
      <c r="M35" s="192"/>
      <c r="N35" s="123"/>
      <c r="O35" s="123"/>
      <c r="P35" s="123"/>
      <c r="Q35" s="123"/>
      <c r="R35" s="123"/>
      <c r="S35" s="123"/>
      <c r="T35" s="123"/>
      <c r="U35" s="123"/>
      <c r="V35" s="123"/>
      <c r="W35" s="123"/>
      <c r="X35" s="123"/>
      <c r="Y35" s="123"/>
      <c r="Z35" s="123"/>
    </row>
    <row r="36" ht="39.75" customHeight="1">
      <c r="A36" s="115" t="s">
        <v>706</v>
      </c>
      <c r="B36" s="114" t="s">
        <v>661</v>
      </c>
      <c r="C36" s="144"/>
      <c r="D36" s="168" t="s">
        <v>428</v>
      </c>
      <c r="E36" s="114" t="s">
        <v>429</v>
      </c>
      <c r="F36" s="114" t="s">
        <v>429</v>
      </c>
      <c r="G36" s="17" t="s">
        <v>117</v>
      </c>
      <c r="H36" s="117" t="s">
        <v>705</v>
      </c>
      <c r="I36" s="22" t="s">
        <v>583</v>
      </c>
      <c r="J36" s="17" t="s">
        <v>117</v>
      </c>
      <c r="K36" s="117" t="s">
        <v>120</v>
      </c>
      <c r="L36" s="22" t="s">
        <v>431</v>
      </c>
      <c r="M36" s="192"/>
      <c r="N36" s="123"/>
      <c r="O36" s="123"/>
      <c r="P36" s="123"/>
      <c r="Q36" s="123"/>
      <c r="R36" s="123"/>
      <c r="S36" s="123"/>
      <c r="T36" s="123"/>
      <c r="U36" s="123"/>
      <c r="V36" s="123"/>
      <c r="W36" s="123"/>
      <c r="X36" s="123"/>
      <c r="Y36" s="123"/>
      <c r="Z36" s="123"/>
    </row>
    <row r="37" ht="39.75" customHeight="1">
      <c r="A37" s="115" t="s">
        <v>707</v>
      </c>
      <c r="B37" s="114" t="s">
        <v>679</v>
      </c>
      <c r="C37" s="115"/>
      <c r="D37" s="168" t="s">
        <v>428</v>
      </c>
      <c r="E37" s="114" t="s">
        <v>429</v>
      </c>
      <c r="F37" s="115" t="s">
        <v>708</v>
      </c>
      <c r="G37" s="17" t="s">
        <v>117</v>
      </c>
      <c r="H37" s="117" t="s">
        <v>705</v>
      </c>
      <c r="I37" s="22" t="s">
        <v>583</v>
      </c>
      <c r="J37" s="17" t="s">
        <v>117</v>
      </c>
      <c r="K37" s="117" t="s">
        <v>120</v>
      </c>
      <c r="L37" s="22" t="s">
        <v>431</v>
      </c>
      <c r="M37" s="115"/>
      <c r="N37" s="123"/>
      <c r="O37" s="123"/>
      <c r="P37" s="123"/>
      <c r="Q37" s="123"/>
      <c r="R37" s="123"/>
      <c r="S37" s="123"/>
      <c r="T37" s="123"/>
      <c r="U37" s="123"/>
      <c r="V37" s="123"/>
      <c r="W37" s="123"/>
      <c r="X37" s="123"/>
      <c r="Y37" s="123"/>
      <c r="Z37" s="123"/>
    </row>
    <row r="38" ht="39.75" customHeight="1">
      <c r="A38" s="115" t="s">
        <v>709</v>
      </c>
      <c r="B38" s="114" t="s">
        <v>675</v>
      </c>
      <c r="C38" s="144"/>
      <c r="D38" s="168" t="s">
        <v>428</v>
      </c>
      <c r="E38" s="114" t="s">
        <v>429</v>
      </c>
      <c r="F38" s="114" t="s">
        <v>429</v>
      </c>
      <c r="G38" s="17" t="s">
        <v>117</v>
      </c>
      <c r="H38" s="117" t="s">
        <v>705</v>
      </c>
      <c r="I38" s="22" t="s">
        <v>583</v>
      </c>
      <c r="J38" s="17" t="s">
        <v>117</v>
      </c>
      <c r="K38" s="117" t="s">
        <v>120</v>
      </c>
      <c r="L38" s="22" t="s">
        <v>431</v>
      </c>
      <c r="M38" s="192"/>
      <c r="N38" s="123"/>
      <c r="O38" s="123"/>
      <c r="P38" s="123"/>
      <c r="Q38" s="123"/>
      <c r="R38" s="123"/>
      <c r="S38" s="123"/>
      <c r="T38" s="123"/>
      <c r="U38" s="123"/>
      <c r="V38" s="123"/>
      <c r="W38" s="123"/>
      <c r="X38" s="123"/>
      <c r="Y38" s="123"/>
      <c r="Z38" s="123"/>
    </row>
    <row r="39" ht="54.0" customHeight="1">
      <c r="A39" s="115" t="s">
        <v>710</v>
      </c>
      <c r="B39" s="114" t="s">
        <v>677</v>
      </c>
      <c r="C39" s="144"/>
      <c r="D39" s="168" t="s">
        <v>428</v>
      </c>
      <c r="E39" s="114" t="s">
        <v>136</v>
      </c>
      <c r="F39" s="114" t="s">
        <v>136</v>
      </c>
      <c r="G39" s="17" t="s">
        <v>117</v>
      </c>
      <c r="H39" s="117" t="s">
        <v>705</v>
      </c>
      <c r="I39" s="22" t="s">
        <v>583</v>
      </c>
      <c r="J39" s="17" t="s">
        <v>117</v>
      </c>
      <c r="K39" s="117" t="s">
        <v>120</v>
      </c>
      <c r="L39" s="22" t="s">
        <v>431</v>
      </c>
      <c r="M39" s="192"/>
      <c r="N39" s="123"/>
      <c r="O39" s="123"/>
      <c r="P39" s="123"/>
      <c r="Q39" s="123"/>
      <c r="R39" s="123"/>
      <c r="S39" s="123"/>
      <c r="T39" s="123"/>
      <c r="U39" s="123"/>
      <c r="V39" s="123"/>
      <c r="W39" s="123"/>
      <c r="X39" s="123"/>
      <c r="Y39" s="123"/>
      <c r="Z39" s="123"/>
    </row>
    <row r="40" ht="57.0" customHeight="1">
      <c r="A40" s="115" t="s">
        <v>711</v>
      </c>
      <c r="B40" s="114" t="s">
        <v>681</v>
      </c>
      <c r="C40" s="144"/>
      <c r="D40" s="168" t="s">
        <v>428</v>
      </c>
      <c r="E40" s="114" t="s">
        <v>136</v>
      </c>
      <c r="F40" s="114" t="s">
        <v>136</v>
      </c>
      <c r="G40" s="17" t="s">
        <v>117</v>
      </c>
      <c r="H40" s="117" t="s">
        <v>705</v>
      </c>
      <c r="I40" s="22" t="s">
        <v>583</v>
      </c>
      <c r="J40" s="17" t="s">
        <v>117</v>
      </c>
      <c r="K40" s="117" t="s">
        <v>120</v>
      </c>
      <c r="L40" s="22" t="s">
        <v>431</v>
      </c>
      <c r="M40" s="192"/>
      <c r="N40" s="123"/>
      <c r="O40" s="123"/>
      <c r="P40" s="123"/>
      <c r="Q40" s="123"/>
      <c r="R40" s="123"/>
      <c r="S40" s="123"/>
      <c r="T40" s="123"/>
      <c r="U40" s="123"/>
      <c r="V40" s="123"/>
      <c r="W40" s="123"/>
      <c r="X40" s="123"/>
      <c r="Y40" s="123"/>
      <c r="Z40" s="123"/>
    </row>
    <row r="41" ht="39.75" customHeight="1">
      <c r="A41" s="115" t="s">
        <v>712</v>
      </c>
      <c r="B41" s="114" t="s">
        <v>713</v>
      </c>
      <c r="C41" s="115"/>
      <c r="D41" s="168" t="s">
        <v>428</v>
      </c>
      <c r="E41" s="114" t="s">
        <v>429</v>
      </c>
      <c r="F41" s="114" t="s">
        <v>429</v>
      </c>
      <c r="G41" s="17" t="s">
        <v>117</v>
      </c>
      <c r="H41" s="117" t="s">
        <v>705</v>
      </c>
      <c r="I41" s="22" t="s">
        <v>583</v>
      </c>
      <c r="J41" s="17" t="s">
        <v>117</v>
      </c>
      <c r="K41" s="117" t="s">
        <v>120</v>
      </c>
      <c r="L41" s="22" t="s">
        <v>431</v>
      </c>
      <c r="M41" s="115"/>
      <c r="N41" s="123"/>
      <c r="O41" s="123"/>
      <c r="P41" s="123"/>
      <c r="Q41" s="123"/>
      <c r="R41" s="123"/>
      <c r="S41" s="123"/>
      <c r="T41" s="123"/>
      <c r="U41" s="123"/>
      <c r="V41" s="123"/>
      <c r="W41" s="123"/>
      <c r="X41" s="123"/>
      <c r="Y41" s="123"/>
      <c r="Z41" s="123"/>
    </row>
    <row r="42" ht="39.75" customHeight="1">
      <c r="A42" s="115" t="s">
        <v>714</v>
      </c>
      <c r="B42" s="114" t="s">
        <v>715</v>
      </c>
      <c r="C42" s="115"/>
      <c r="D42" s="168" t="s">
        <v>428</v>
      </c>
      <c r="E42" s="114" t="s">
        <v>429</v>
      </c>
      <c r="F42" s="114" t="s">
        <v>429</v>
      </c>
      <c r="G42" s="17" t="s">
        <v>117</v>
      </c>
      <c r="H42" s="117" t="s">
        <v>705</v>
      </c>
      <c r="I42" s="22" t="s">
        <v>583</v>
      </c>
      <c r="J42" s="17" t="s">
        <v>117</v>
      </c>
      <c r="K42" s="117" t="s">
        <v>120</v>
      </c>
      <c r="L42" s="22" t="s">
        <v>431</v>
      </c>
      <c r="M42" s="115"/>
      <c r="N42" s="123"/>
      <c r="O42" s="123"/>
      <c r="P42" s="123"/>
      <c r="Q42" s="123"/>
      <c r="R42" s="123"/>
      <c r="S42" s="123"/>
      <c r="T42" s="123"/>
      <c r="U42" s="123"/>
      <c r="V42" s="123"/>
      <c r="W42" s="123"/>
      <c r="X42" s="123"/>
      <c r="Y42" s="123"/>
      <c r="Z42" s="123"/>
    </row>
    <row r="43" ht="57.0" customHeight="1">
      <c r="A43" s="115" t="s">
        <v>716</v>
      </c>
      <c r="B43" s="114" t="s">
        <v>717</v>
      </c>
      <c r="C43" s="115"/>
      <c r="D43" s="168" t="s">
        <v>428</v>
      </c>
      <c r="E43" s="115" t="s">
        <v>718</v>
      </c>
      <c r="F43" s="115" t="s">
        <v>718</v>
      </c>
      <c r="G43" s="17" t="s">
        <v>117</v>
      </c>
      <c r="H43" s="117" t="s">
        <v>705</v>
      </c>
      <c r="I43" s="22" t="s">
        <v>583</v>
      </c>
      <c r="J43" s="17" t="s">
        <v>117</v>
      </c>
      <c r="K43" s="117" t="s">
        <v>120</v>
      </c>
      <c r="L43" s="22" t="s">
        <v>431</v>
      </c>
      <c r="M43" s="115"/>
      <c r="N43" s="123"/>
      <c r="O43" s="123"/>
      <c r="P43" s="123"/>
      <c r="Q43" s="123"/>
      <c r="R43" s="123"/>
      <c r="S43" s="123"/>
      <c r="T43" s="123"/>
      <c r="U43" s="123"/>
      <c r="V43" s="123"/>
      <c r="W43" s="123"/>
      <c r="X43" s="123"/>
      <c r="Y43" s="123"/>
      <c r="Z43" s="123"/>
    </row>
    <row r="44" ht="15.75" customHeight="1">
      <c r="A44" s="115" t="s">
        <v>719</v>
      </c>
      <c r="B44" s="114" t="s">
        <v>720</v>
      </c>
      <c r="C44" s="115"/>
      <c r="D44" s="168" t="s">
        <v>428</v>
      </c>
      <c r="E44" s="114" t="s">
        <v>233</v>
      </c>
      <c r="F44" s="114" t="s">
        <v>233</v>
      </c>
      <c r="G44" s="17" t="s">
        <v>117</v>
      </c>
      <c r="H44" s="117" t="s">
        <v>705</v>
      </c>
      <c r="I44" s="22" t="s">
        <v>583</v>
      </c>
      <c r="J44" s="17" t="s">
        <v>117</v>
      </c>
      <c r="K44" s="117" t="s">
        <v>120</v>
      </c>
      <c r="L44" s="22" t="s">
        <v>431</v>
      </c>
      <c r="M44" s="115"/>
    </row>
    <row r="45" ht="15.75" customHeight="1">
      <c r="A45" s="115" t="s">
        <v>721</v>
      </c>
      <c r="B45" s="114" t="s">
        <v>722</v>
      </c>
      <c r="C45" s="115"/>
      <c r="D45" s="168" t="s">
        <v>428</v>
      </c>
      <c r="E45" s="114" t="s">
        <v>723</v>
      </c>
      <c r="F45" s="114" t="s">
        <v>723</v>
      </c>
      <c r="G45" s="17" t="s">
        <v>117</v>
      </c>
      <c r="H45" s="117" t="s">
        <v>705</v>
      </c>
      <c r="I45" s="22" t="s">
        <v>583</v>
      </c>
      <c r="J45" s="17" t="s">
        <v>117</v>
      </c>
      <c r="K45" s="117" t="s">
        <v>120</v>
      </c>
      <c r="L45" s="22" t="s">
        <v>431</v>
      </c>
      <c r="M45" s="115"/>
    </row>
    <row r="46" ht="15.75" customHeight="1">
      <c r="A46" s="115" t="s">
        <v>724</v>
      </c>
      <c r="B46" s="114" t="s">
        <v>725</v>
      </c>
      <c r="C46" s="115"/>
      <c r="D46" s="168" t="s">
        <v>428</v>
      </c>
      <c r="E46" s="114" t="s">
        <v>233</v>
      </c>
      <c r="F46" s="114" t="s">
        <v>233</v>
      </c>
      <c r="G46" s="17" t="s">
        <v>117</v>
      </c>
      <c r="H46" s="117" t="s">
        <v>705</v>
      </c>
      <c r="I46" s="22" t="s">
        <v>583</v>
      </c>
      <c r="J46" s="17" t="s">
        <v>117</v>
      </c>
      <c r="K46" s="117" t="s">
        <v>120</v>
      </c>
      <c r="L46" s="22" t="s">
        <v>431</v>
      </c>
      <c r="M46" s="115"/>
    </row>
    <row r="47" ht="15.75" customHeight="1">
      <c r="A47" s="115" t="s">
        <v>726</v>
      </c>
      <c r="B47" s="114" t="s">
        <v>727</v>
      </c>
      <c r="C47" s="115"/>
      <c r="D47" s="168" t="s">
        <v>428</v>
      </c>
      <c r="E47" s="114" t="s">
        <v>136</v>
      </c>
      <c r="F47" s="114" t="s">
        <v>136</v>
      </c>
      <c r="G47" s="17" t="s">
        <v>117</v>
      </c>
      <c r="H47" s="117" t="s">
        <v>705</v>
      </c>
      <c r="I47" s="22" t="s">
        <v>583</v>
      </c>
      <c r="J47" s="17" t="s">
        <v>117</v>
      </c>
      <c r="K47" s="117" t="s">
        <v>120</v>
      </c>
      <c r="L47" s="22" t="s">
        <v>431</v>
      </c>
      <c r="M47" s="115"/>
    </row>
    <row r="48" ht="15.75" customHeight="1">
      <c r="A48" s="143" t="s">
        <v>728</v>
      </c>
      <c r="B48" s="97"/>
      <c r="C48" s="97"/>
      <c r="D48" s="97"/>
      <c r="E48" s="97"/>
      <c r="F48" s="97"/>
      <c r="G48" s="97"/>
      <c r="H48" s="97"/>
      <c r="I48" s="97"/>
      <c r="J48" s="97"/>
      <c r="K48" s="97"/>
      <c r="L48" s="97"/>
      <c r="M48" s="98"/>
    </row>
    <row r="49" ht="15.75" customHeight="1">
      <c r="A49" s="131" t="s">
        <v>729</v>
      </c>
      <c r="B49" s="131" t="s">
        <v>58</v>
      </c>
      <c r="C49" s="114" t="s">
        <v>730</v>
      </c>
      <c r="D49" s="168" t="s">
        <v>428</v>
      </c>
      <c r="E49" s="131" t="s">
        <v>731</v>
      </c>
      <c r="F49" s="131" t="s">
        <v>731</v>
      </c>
      <c r="G49" s="17" t="s">
        <v>117</v>
      </c>
      <c r="H49" s="117" t="s">
        <v>705</v>
      </c>
      <c r="I49" s="22" t="s">
        <v>583</v>
      </c>
      <c r="J49" s="17" t="s">
        <v>117</v>
      </c>
      <c r="K49" s="117" t="s">
        <v>120</v>
      </c>
      <c r="L49" s="22" t="s">
        <v>431</v>
      </c>
      <c r="M49" s="168"/>
    </row>
    <row r="50" ht="15.75" customHeight="1">
      <c r="A50" s="131" t="s">
        <v>732</v>
      </c>
      <c r="B50" s="131" t="s">
        <v>60</v>
      </c>
      <c r="C50" s="114" t="s">
        <v>733</v>
      </c>
      <c r="D50" s="168" t="s">
        <v>428</v>
      </c>
      <c r="E50" s="131" t="s">
        <v>734</v>
      </c>
      <c r="F50" s="131" t="s">
        <v>734</v>
      </c>
      <c r="G50" s="17" t="s">
        <v>117</v>
      </c>
      <c r="H50" s="117" t="s">
        <v>705</v>
      </c>
      <c r="I50" s="22" t="s">
        <v>583</v>
      </c>
      <c r="J50" s="17" t="s">
        <v>117</v>
      </c>
      <c r="K50" s="117" t="s">
        <v>120</v>
      </c>
      <c r="L50" s="22" t="s">
        <v>431</v>
      </c>
      <c r="M50" s="168"/>
    </row>
    <row r="51" ht="15.75" customHeight="1">
      <c r="A51" s="131" t="s">
        <v>735</v>
      </c>
      <c r="B51" s="131" t="s">
        <v>61</v>
      </c>
      <c r="C51" s="114" t="s">
        <v>736</v>
      </c>
      <c r="D51" s="168" t="s">
        <v>428</v>
      </c>
      <c r="E51" s="131" t="s">
        <v>737</v>
      </c>
      <c r="F51" s="131" t="s">
        <v>737</v>
      </c>
      <c r="G51" s="17" t="s">
        <v>117</v>
      </c>
      <c r="H51" s="117" t="s">
        <v>705</v>
      </c>
      <c r="I51" s="22" t="s">
        <v>583</v>
      </c>
      <c r="J51" s="17" t="s">
        <v>117</v>
      </c>
      <c r="K51" s="117" t="s">
        <v>120</v>
      </c>
      <c r="L51" s="22" t="s">
        <v>431</v>
      </c>
      <c r="M51" s="168"/>
    </row>
    <row r="52" ht="15.75" customHeight="1">
      <c r="A52" s="131" t="s">
        <v>738</v>
      </c>
      <c r="B52" s="131" t="s">
        <v>62</v>
      </c>
      <c r="C52" s="114" t="s">
        <v>739</v>
      </c>
      <c r="D52" s="168" t="s">
        <v>428</v>
      </c>
      <c r="E52" s="131" t="s">
        <v>740</v>
      </c>
      <c r="F52" s="131" t="s">
        <v>740</v>
      </c>
      <c r="G52" s="17" t="s">
        <v>117</v>
      </c>
      <c r="H52" s="117" t="s">
        <v>705</v>
      </c>
      <c r="I52" s="22" t="s">
        <v>583</v>
      </c>
      <c r="J52" s="17" t="s">
        <v>117</v>
      </c>
      <c r="K52" s="117" t="s">
        <v>120</v>
      </c>
      <c r="L52" s="22" t="s">
        <v>431</v>
      </c>
      <c r="M52" s="168"/>
    </row>
    <row r="53" ht="15.75" customHeight="1">
      <c r="A53" s="131" t="s">
        <v>741</v>
      </c>
      <c r="B53" s="131" t="s">
        <v>63</v>
      </c>
      <c r="C53" s="114" t="s">
        <v>742</v>
      </c>
      <c r="D53" s="168" t="s">
        <v>428</v>
      </c>
      <c r="E53" s="131" t="s">
        <v>743</v>
      </c>
      <c r="F53" s="131" t="s">
        <v>743</v>
      </c>
      <c r="G53" s="17" t="s">
        <v>117</v>
      </c>
      <c r="H53" s="117" t="s">
        <v>705</v>
      </c>
      <c r="I53" s="22" t="s">
        <v>583</v>
      </c>
      <c r="J53" s="17" t="s">
        <v>117</v>
      </c>
      <c r="K53" s="117" t="s">
        <v>120</v>
      </c>
      <c r="L53" s="22" t="s">
        <v>431</v>
      </c>
      <c r="M53" s="168"/>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1:F1"/>
    <mergeCell ref="B2:F2"/>
    <mergeCell ref="A6:C9"/>
    <mergeCell ref="D6:E9"/>
    <mergeCell ref="F6:H9"/>
    <mergeCell ref="D10:E13"/>
    <mergeCell ref="F10:H13"/>
    <mergeCell ref="A10:C13"/>
    <mergeCell ref="A14:C17"/>
    <mergeCell ref="D14:E17"/>
    <mergeCell ref="F14:H17"/>
    <mergeCell ref="A18:C21"/>
    <mergeCell ref="D18:E21"/>
    <mergeCell ref="F18:H21"/>
    <mergeCell ref="B31:B33"/>
    <mergeCell ref="C31:C33"/>
    <mergeCell ref="D31:D33"/>
    <mergeCell ref="E31:E33"/>
    <mergeCell ref="G31:L31"/>
    <mergeCell ref="M31:M33"/>
    <mergeCell ref="G32:I32"/>
    <mergeCell ref="J32:L32"/>
    <mergeCell ref="A34:M34"/>
    <mergeCell ref="A48:M48"/>
    <mergeCell ref="A22:C25"/>
    <mergeCell ref="D22:E25"/>
    <mergeCell ref="F22:H25"/>
    <mergeCell ref="A26:C29"/>
    <mergeCell ref="D26:E29"/>
    <mergeCell ref="F26:H29"/>
    <mergeCell ref="A31:A33"/>
    <mergeCell ref="F31:F33"/>
  </mergeCells>
  <dataValidations>
    <dataValidation type="list" allowBlank="1" showErrorMessage="1" sqref="G35:G47 J35:J47 G49:G53 J49:J53">
      <formula1>"Passed,Untested,Failed,Blocked"</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